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projects\songngoc\logo-redraw\"/>
    </mc:Choice>
  </mc:AlternateContent>
  <xr:revisionPtr revIDLastSave="0" documentId="13_ncr:1_{12F5BBC5-D4CA-4AB8-8D56-B3FDAA9F90DA}" xr6:coauthVersionLast="47" xr6:coauthVersionMax="47" xr10:uidLastSave="{00000000-0000-0000-0000-000000000000}"/>
  <bookViews>
    <workbookView xWindow="-120" yWindow="-120" windowWidth="29040" windowHeight="15720" xr2:uid="{04659C94-BF80-4A12-9C8B-08F5045ED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I60" i="1"/>
  <c r="H61" i="1"/>
  <c r="H60" i="1"/>
  <c r="H58" i="1"/>
  <c r="H59" i="1"/>
  <c r="H57" i="1"/>
  <c r="I58" i="1"/>
  <c r="I59" i="1"/>
  <c r="I57" i="1"/>
  <c r="I45" i="1"/>
  <c r="H45" i="1"/>
  <c r="F45" i="1" s="1"/>
  <c r="D45" i="1"/>
  <c r="I50" i="1" s="1"/>
  <c r="I41" i="1"/>
  <c r="H42" i="1"/>
  <c r="F42" i="1" s="1"/>
  <c r="D44" i="1"/>
  <c r="F40" i="1"/>
  <c r="I48" i="1" l="1"/>
  <c r="F41" i="1"/>
  <c r="H44" i="1"/>
  <c r="F44" i="1" s="1"/>
  <c r="H46" i="1"/>
  <c r="H48" i="1"/>
  <c r="I47" i="1"/>
  <c r="H49" i="1"/>
  <c r="I51" i="1"/>
  <c r="I46" i="1"/>
  <c r="D46" i="1"/>
  <c r="H43" i="1" s="1"/>
  <c r="F43" i="1" s="1"/>
  <c r="H47" i="1"/>
  <c r="I49" i="1"/>
  <c r="I52" i="1" s="1"/>
  <c r="H51" i="1"/>
  <c r="H50" i="1"/>
  <c r="H52" i="1" l="1"/>
</calcChain>
</file>

<file path=xl/sharedStrings.xml><?xml version="1.0" encoding="utf-8"?>
<sst xmlns="http://schemas.openxmlformats.org/spreadsheetml/2006/main" count="35" uniqueCount="35">
  <si>
    <t>O</t>
  </si>
  <si>
    <t>Point</t>
  </si>
  <si>
    <t>X</t>
  </si>
  <si>
    <t>Y</t>
  </si>
  <si>
    <t>Label</t>
  </si>
  <si>
    <t>α</t>
  </si>
  <si>
    <t>Angle</t>
  </si>
  <si>
    <t>Degree</t>
  </si>
  <si>
    <t>D</t>
  </si>
  <si>
    <t>Dimension</t>
  </si>
  <si>
    <t>Length</t>
  </si>
  <si>
    <t>h</t>
  </si>
  <si>
    <t>a</t>
  </si>
  <si>
    <t>A</t>
  </si>
  <si>
    <t>d</t>
  </si>
  <si>
    <t>s</t>
  </si>
  <si>
    <t>S</t>
  </si>
  <si>
    <t>B</t>
  </si>
  <si>
    <t>C</t>
  </si>
  <si>
    <t>y = (y15 - yA)/(x15-xA)*x + (x15yA - xBy15)/(x15 - xA)</t>
  </si>
  <si>
    <t>8 là giao của 7/S và 5/16</t>
  </si>
  <si>
    <t>7/S</t>
  </si>
  <si>
    <t>y = x*(y7 - yS)/(x7 - xS) + (x7yS - xSy7)/(x7 - xS)</t>
  </si>
  <si>
    <t>5/16</t>
  </si>
  <si>
    <t xml:space="preserve">y = x*(y16 - y5)/(x16 - x5) + (x5y16 - x16y5)/(x16 - x5) </t>
  </si>
  <si>
    <t>Hãy viết svg với</t>
  </si>
  <si>
    <t>alpha = 15 độ</t>
  </si>
  <si>
    <t>h = 1000 px</t>
  </si>
  <si>
    <t>a = h/cos(alpha)</t>
  </si>
  <si>
    <t>d = h/(6+3*COS(alpha))</t>
  </si>
  <si>
    <t>s = d/COS(alpha)</t>
  </si>
  <si>
    <t>Điểm A có xA =h*TAN(alpha), yA = 0</t>
  </si>
  <si>
    <t>Điểm B có xB = xA + h, yB = 0</t>
  </si>
  <si>
    <t>Điểm C có xC = yC = h</t>
  </si>
  <si>
    <t>Điểm D có xD = 0, yD =h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</si>
</sst>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  <color rgb="FFFF4500"/>
      <color rgb="FF00FFFF"/>
      <color rgb="FF006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22</xdr:row>
      <xdr:rowOff>180975</xdr:rowOff>
    </xdr:from>
    <xdr:to>
      <xdr:col>5</xdr:col>
      <xdr:colOff>1304925</xdr:colOff>
      <xdr:row>35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1DE299B-5062-45E5-BE66-01CFC4845F88}"/>
            </a:ext>
          </a:extLst>
        </xdr:cNvPr>
        <xdr:cNvCxnSpPr/>
      </xdr:nvCxnSpPr>
      <xdr:spPr>
        <a:xfrm>
          <a:off x="1285875" y="1514475"/>
          <a:ext cx="3067050" cy="2447925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17</xdr:row>
      <xdr:rowOff>0</xdr:rowOff>
    </xdr:from>
    <xdr:to>
      <xdr:col>21</xdr:col>
      <xdr:colOff>525531</xdr:colOff>
      <xdr:row>17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66AFBF0-0815-4CB3-84CA-B2FD39843793}"/>
            </a:ext>
          </a:extLst>
        </xdr:cNvPr>
        <xdr:cNvCxnSpPr/>
      </xdr:nvCxnSpPr>
      <xdr:spPr>
        <a:xfrm>
          <a:off x="609600" y="381000"/>
          <a:ext cx="13696950" cy="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581025</xdr:colOff>
      <xdr:row>15</xdr:row>
      <xdr:rowOff>133350</xdr:rowOff>
    </xdr:from>
    <xdr:ext cx="606864" cy="264560"/>
    <xdr:sp macro="" textlink="$F$40">
      <xdr:nvSpPr>
        <xdr:cNvPr id="6" name="TextBox 5">
          <a:extLst>
            <a:ext uri="{FF2B5EF4-FFF2-40B4-BE49-F238E27FC236}">
              <a16:creationId xmlns:a16="http://schemas.microsoft.com/office/drawing/2014/main" id="{11C4A28E-26A7-4D85-810D-E200470B743C}"/>
            </a:ext>
          </a:extLst>
        </xdr:cNvPr>
        <xdr:cNvSpPr txBox="1"/>
      </xdr:nvSpPr>
      <xdr:spPr>
        <a:xfrm>
          <a:off x="2409825" y="133350"/>
          <a:ext cx="6055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3CAC4FE-1862-4BDB-B760-BD15A332DE8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O (0, 0)</a:t>
          </a:fld>
          <a:endParaRPr lang="en-US" sz="1100"/>
        </a:p>
      </xdr:txBody>
    </xdr:sp>
    <xdr:clientData/>
  </xdr:oneCellAnchor>
  <xdr:oneCellAnchor>
    <xdr:from>
      <xdr:col>21</xdr:col>
      <xdr:colOff>312668</xdr:colOff>
      <xdr:row>15</xdr:row>
      <xdr:rowOff>95250</xdr:rowOff>
    </xdr:from>
    <xdr:ext cx="261204" cy="264560"/>
    <xdr:sp macro="" textlink="$H$39">
      <xdr:nvSpPr>
        <xdr:cNvPr id="7" name="TextBox 6">
          <a:extLst>
            <a:ext uri="{FF2B5EF4-FFF2-40B4-BE49-F238E27FC236}">
              <a16:creationId xmlns:a16="http://schemas.microsoft.com/office/drawing/2014/main" id="{7459F31F-3D8B-4947-9E6D-E1550714D925}"/>
            </a:ext>
          </a:extLst>
        </xdr:cNvPr>
        <xdr:cNvSpPr txBox="1"/>
      </xdr:nvSpPr>
      <xdr:spPr>
        <a:xfrm>
          <a:off x="14097000" y="9525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0A6107F-FA97-43A6-89DF-E92260944A8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X</a:t>
          </a:fld>
          <a:endParaRPr lang="en-US" sz="1100"/>
        </a:p>
      </xdr:txBody>
    </xdr:sp>
    <xdr:clientData/>
  </xdr:oneCellAnchor>
  <xdr:twoCellAnchor editAs="oneCell">
    <xdr:from>
      <xdr:col>1</xdr:col>
      <xdr:colOff>0</xdr:colOff>
      <xdr:row>17</xdr:row>
      <xdr:rowOff>0</xdr:rowOff>
    </xdr:from>
    <xdr:to>
      <xdr:col>1</xdr:col>
      <xdr:colOff>0</xdr:colOff>
      <xdr:row>42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ACA8DE1-28FC-4CE6-8054-628AD3D998E3}"/>
            </a:ext>
          </a:extLst>
        </xdr:cNvPr>
        <xdr:cNvCxnSpPr/>
      </xdr:nvCxnSpPr>
      <xdr:spPr>
        <a:xfrm>
          <a:off x="2438400" y="381000"/>
          <a:ext cx="0" cy="3057525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361950</xdr:colOff>
      <xdr:row>38</xdr:row>
      <xdr:rowOff>0</xdr:rowOff>
    </xdr:from>
    <xdr:ext cx="259205" cy="264560"/>
    <xdr:sp macro="" textlink="$I$39">
      <xdr:nvSpPr>
        <xdr:cNvPr id="13" name="TextBox 12">
          <a:extLst>
            <a:ext uri="{FF2B5EF4-FFF2-40B4-BE49-F238E27FC236}">
              <a16:creationId xmlns:a16="http://schemas.microsoft.com/office/drawing/2014/main" id="{DE3E897A-6CAC-4E8D-80BD-E91312DA3E3E}"/>
            </a:ext>
          </a:extLst>
        </xdr:cNvPr>
        <xdr:cNvSpPr txBox="1"/>
      </xdr:nvSpPr>
      <xdr:spPr>
        <a:xfrm>
          <a:off x="2190750" y="494347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22D1B7-F400-458C-8368-F7B75C9B73C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Y</a:t>
          </a:fld>
          <a:endParaRPr lang="en-US" sz="1100"/>
        </a:p>
      </xdr:txBody>
    </xdr:sp>
    <xdr:clientData/>
  </xdr:oneCellAnchor>
  <xdr:twoCellAnchor editAs="oneCell">
    <xdr:from>
      <xdr:col>1</xdr:col>
      <xdr:colOff>0</xdr:colOff>
      <xdr:row>17</xdr:row>
      <xdr:rowOff>0</xdr:rowOff>
    </xdr:from>
    <xdr:to>
      <xdr:col>1</xdr:col>
      <xdr:colOff>0</xdr:colOff>
      <xdr:row>35</xdr:row>
      <xdr:rowOff>171000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B8FC0FF-18BA-40C2-83BE-4817A9D61F6F}"/>
            </a:ext>
          </a:extLst>
        </xdr:cNvPr>
        <xdr:cNvCxnSpPr/>
      </xdr:nvCxnSpPr>
      <xdr:spPr>
        <a:xfrm>
          <a:off x="2438400" y="381000"/>
          <a:ext cx="0" cy="360000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47625</xdr:colOff>
      <xdr:row>36</xdr:row>
      <xdr:rowOff>38100</xdr:rowOff>
    </xdr:from>
    <xdr:ext cx="671754" cy="172227"/>
    <xdr:sp macro="" textlink="$F$41">
      <xdr:nvSpPr>
        <xdr:cNvPr id="18" name="TextBox 17">
          <a:extLst>
            <a:ext uri="{FF2B5EF4-FFF2-40B4-BE49-F238E27FC236}">
              <a16:creationId xmlns:a16="http://schemas.microsoft.com/office/drawing/2014/main" id="{77F48ADA-4B6B-4893-BAB4-8CB4C306AC3B}"/>
            </a:ext>
          </a:extLst>
        </xdr:cNvPr>
        <xdr:cNvSpPr txBox="1"/>
      </xdr:nvSpPr>
      <xdr:spPr>
        <a:xfrm>
          <a:off x="2486025" y="4038600"/>
          <a:ext cx="67044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B266A5FB-CA82-484B-84E6-EDFF0FBFD3A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D (0, 10)</a:t>
          </a:fld>
          <a:endParaRPr lang="en-US" sz="1100"/>
        </a:p>
      </xdr:txBody>
    </xdr:sp>
    <xdr:clientData/>
  </xdr:oneCellAnchor>
  <xdr:twoCellAnchor editAs="oneCell">
    <xdr:from>
      <xdr:col>1</xdr:col>
      <xdr:colOff>0</xdr:colOff>
      <xdr:row>35</xdr:row>
      <xdr:rowOff>161925</xdr:rowOff>
    </xdr:from>
    <xdr:to>
      <xdr:col>21</xdr:col>
      <xdr:colOff>474593</xdr:colOff>
      <xdr:row>35</xdr:row>
      <xdr:rowOff>161925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D891980-4BED-499D-AF17-B2DEE1CB93C5}"/>
            </a:ext>
          </a:extLst>
        </xdr:cNvPr>
        <xdr:cNvCxnSpPr/>
      </xdr:nvCxnSpPr>
      <xdr:spPr>
        <a:xfrm>
          <a:off x="609600" y="3971925"/>
          <a:ext cx="13649325" cy="0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457200</xdr:colOff>
      <xdr:row>26</xdr:row>
      <xdr:rowOff>9525</xdr:rowOff>
    </xdr:from>
    <xdr:ext cx="201339" cy="172227"/>
    <xdr:sp macro="" textlink="$C$43">
      <xdr:nvSpPr>
        <xdr:cNvPr id="20" name="TextBox 19">
          <a:extLst>
            <a:ext uri="{FF2B5EF4-FFF2-40B4-BE49-F238E27FC236}">
              <a16:creationId xmlns:a16="http://schemas.microsoft.com/office/drawing/2014/main" id="{9386F608-6D85-4F51-9583-D3C8AF73D515}"/>
            </a:ext>
          </a:extLst>
        </xdr:cNvPr>
        <xdr:cNvSpPr txBox="1"/>
      </xdr:nvSpPr>
      <xdr:spPr>
        <a:xfrm>
          <a:off x="2381250" y="2105025"/>
          <a:ext cx="20002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3F4138BC-2E44-45DE-8FA2-C65CF8C6A41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h</a:t>
          </a:fld>
          <a:endParaRPr lang="en-US" sz="1100"/>
        </a:p>
      </xdr:txBody>
    </xdr:sp>
    <xdr:clientData/>
  </xdr:oneCellAnchor>
  <xdr:twoCellAnchor editAs="oneCell">
    <xdr:from>
      <xdr:col>1</xdr:col>
      <xdr:colOff>0</xdr:colOff>
      <xdr:row>17</xdr:row>
      <xdr:rowOff>0</xdr:rowOff>
    </xdr:from>
    <xdr:to>
      <xdr:col>2</xdr:col>
      <xdr:colOff>355200</xdr:colOff>
      <xdr:row>17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972F92F-A97E-49B7-8D19-507E8B717DB7}"/>
            </a:ext>
          </a:extLst>
        </xdr:cNvPr>
        <xdr:cNvCxnSpPr/>
      </xdr:nvCxnSpPr>
      <xdr:spPr>
        <a:xfrm>
          <a:off x="609600" y="381000"/>
          <a:ext cx="9648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244751</xdr:colOff>
      <xdr:row>15</xdr:row>
      <xdr:rowOff>166894</xdr:rowOff>
    </xdr:from>
    <xdr:ext cx="1448216" cy="172227"/>
    <xdr:sp macro="" textlink="$F$42">
      <xdr:nvSpPr>
        <xdr:cNvPr id="28" name="TextBox 27">
          <a:extLst>
            <a:ext uri="{FF2B5EF4-FFF2-40B4-BE49-F238E27FC236}">
              <a16:creationId xmlns:a16="http://schemas.microsoft.com/office/drawing/2014/main" id="{45E53552-413F-4E2A-AD59-BD22D7A3DDA0}"/>
            </a:ext>
          </a:extLst>
        </xdr:cNvPr>
        <xdr:cNvSpPr txBox="1"/>
      </xdr:nvSpPr>
      <xdr:spPr>
        <a:xfrm>
          <a:off x="1470577" y="166894"/>
          <a:ext cx="145221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fld id="{329A3B36-22A9-45AD-8A27-2D256AB35C6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A (2.67949192431123, 0)</a:t>
          </a:fld>
          <a:endParaRPr lang="en-US" sz="1100"/>
        </a:p>
      </xdr:txBody>
    </xdr:sp>
    <xdr:clientData/>
  </xdr:oneCellAnchor>
  <xdr:twoCellAnchor editAs="oneCell">
    <xdr:from>
      <xdr:col>1</xdr:col>
      <xdr:colOff>500927</xdr:colOff>
      <xdr:row>16</xdr:row>
      <xdr:rowOff>127020</xdr:rowOff>
    </xdr:from>
    <xdr:to>
      <xdr:col>1</xdr:col>
      <xdr:colOff>500927</xdr:colOff>
      <xdr:row>36</xdr:row>
      <xdr:rowOff>43020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D8A4CB5-824C-4D6C-B7C8-1743D4D62C6C}"/>
            </a:ext>
          </a:extLst>
        </xdr:cNvPr>
        <xdr:cNvCxnSpPr/>
      </xdr:nvCxnSpPr>
      <xdr:spPr>
        <a:xfrm rot="6300000">
          <a:off x="-752473" y="218052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184946</xdr:colOff>
      <xdr:row>16</xdr:row>
      <xdr:rowOff>127020</xdr:rowOff>
    </xdr:from>
    <xdr:to>
      <xdr:col>6</xdr:col>
      <xdr:colOff>184946</xdr:colOff>
      <xdr:row>36</xdr:row>
      <xdr:rowOff>43020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75C826E-8C05-4442-92C6-3570267CCF31}"/>
            </a:ext>
          </a:extLst>
        </xdr:cNvPr>
        <xdr:cNvCxnSpPr/>
      </xdr:nvCxnSpPr>
      <xdr:spPr>
        <a:xfrm rot="6300000">
          <a:off x="2962277" y="218052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257175</xdr:colOff>
      <xdr:row>19</xdr:row>
      <xdr:rowOff>22200</xdr:rowOff>
    </xdr:from>
    <xdr:to>
      <xdr:col>6</xdr:col>
      <xdr:colOff>565357</xdr:colOff>
      <xdr:row>19</xdr:row>
      <xdr:rowOff>22200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B0E1844-2DB3-44D9-9F9C-26763B7A2812}"/>
            </a:ext>
          </a:extLst>
        </xdr:cNvPr>
        <xdr:cNvCxnSpPr/>
      </xdr:nvCxnSpPr>
      <xdr:spPr>
        <a:xfrm>
          <a:off x="1476375" y="784200"/>
          <a:ext cx="3726000" cy="0"/>
        </a:xfrm>
        <a:prstGeom prst="line">
          <a:avLst/>
        </a:prstGeom>
        <a:ln w="127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0</xdr:colOff>
      <xdr:row>19</xdr:row>
      <xdr:rowOff>22200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CDBEB19A-8488-478F-B025-E028F149D3DE}"/>
            </a:ext>
          </a:extLst>
        </xdr:cNvPr>
        <xdr:cNvCxnSpPr/>
      </xdr:nvCxnSpPr>
      <xdr:spPr>
        <a:xfrm>
          <a:off x="609600" y="381000"/>
          <a:ext cx="0" cy="403200"/>
        </a:xfrm>
        <a:prstGeom prst="line">
          <a:avLst/>
        </a:prstGeom>
        <a:ln w="38100">
          <a:solidFill>
            <a:srgbClr val="FF45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171450</xdr:colOff>
      <xdr:row>20</xdr:row>
      <xdr:rowOff>165075</xdr:rowOff>
    </xdr:from>
    <xdr:to>
      <xdr:col>6</xdr:col>
      <xdr:colOff>476319</xdr:colOff>
      <xdr:row>20</xdr:row>
      <xdr:rowOff>165075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DC455DF-DE5A-47E7-988D-03ADBDB933ED}"/>
            </a:ext>
          </a:extLst>
        </xdr:cNvPr>
        <xdr:cNvCxnSpPr/>
      </xdr:nvCxnSpPr>
      <xdr:spPr>
        <a:xfrm>
          <a:off x="1390650" y="1117575"/>
          <a:ext cx="3726000" cy="0"/>
        </a:xfrm>
        <a:prstGeom prst="line">
          <a:avLst/>
        </a:prstGeom>
        <a:ln w="127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76200</xdr:colOff>
      <xdr:row>22</xdr:row>
      <xdr:rowOff>174600</xdr:rowOff>
    </xdr:from>
    <xdr:to>
      <xdr:col>6</xdr:col>
      <xdr:colOff>381069</xdr:colOff>
      <xdr:row>22</xdr:row>
      <xdr:rowOff>174600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870A296-8CDF-4178-BFAB-37A8488E966D}"/>
            </a:ext>
          </a:extLst>
        </xdr:cNvPr>
        <xdr:cNvCxnSpPr/>
      </xdr:nvCxnSpPr>
      <xdr:spPr>
        <a:xfrm>
          <a:off x="1295400" y="1508100"/>
          <a:ext cx="3726000" cy="0"/>
        </a:xfrm>
        <a:prstGeom prst="line">
          <a:avLst/>
        </a:prstGeom>
        <a:ln w="127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133350</xdr:colOff>
      <xdr:row>33</xdr:row>
      <xdr:rowOff>174600</xdr:rowOff>
    </xdr:from>
    <xdr:to>
      <xdr:col>5</xdr:col>
      <xdr:colOff>1420950</xdr:colOff>
      <xdr:row>33</xdr:row>
      <xdr:rowOff>174600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AEA33DDF-3E36-4745-8574-927BD7EB4AEA}"/>
            </a:ext>
          </a:extLst>
        </xdr:cNvPr>
        <xdr:cNvCxnSpPr/>
      </xdr:nvCxnSpPr>
      <xdr:spPr>
        <a:xfrm>
          <a:off x="742950" y="360360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33</xdr:row>
      <xdr:rowOff>139725</xdr:rowOff>
    </xdr:from>
    <xdr:to>
      <xdr:col>1</xdr:col>
      <xdr:colOff>0</xdr:colOff>
      <xdr:row>35</xdr:row>
      <xdr:rowOff>161925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3CE9547-77A5-4A88-A8C9-1E9E4A7C67F2}"/>
            </a:ext>
          </a:extLst>
        </xdr:cNvPr>
        <xdr:cNvCxnSpPr/>
      </xdr:nvCxnSpPr>
      <xdr:spPr>
        <a:xfrm>
          <a:off x="609600" y="3568725"/>
          <a:ext cx="0" cy="403200"/>
        </a:xfrm>
        <a:prstGeom prst="line">
          <a:avLst/>
        </a:prstGeom>
        <a:ln w="38100">
          <a:solidFill>
            <a:srgbClr val="FF45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238125</xdr:colOff>
      <xdr:row>31</xdr:row>
      <xdr:rowOff>155550</xdr:rowOff>
    </xdr:from>
    <xdr:to>
      <xdr:col>5</xdr:col>
      <xdr:colOff>1523655</xdr:colOff>
      <xdr:row>31</xdr:row>
      <xdr:rowOff>155550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BB3F77C-2201-4B91-93EE-4F7AE73187C0}"/>
            </a:ext>
          </a:extLst>
        </xdr:cNvPr>
        <xdr:cNvCxnSpPr/>
      </xdr:nvCxnSpPr>
      <xdr:spPr>
        <a:xfrm>
          <a:off x="847725" y="320355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314325</xdr:colOff>
      <xdr:row>29</xdr:row>
      <xdr:rowOff>155550</xdr:rowOff>
    </xdr:from>
    <xdr:to>
      <xdr:col>6</xdr:col>
      <xdr:colOff>9594</xdr:colOff>
      <xdr:row>29</xdr:row>
      <xdr:rowOff>155550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3481DD3-31A5-462B-BDB0-22EFE7109938}"/>
            </a:ext>
          </a:extLst>
        </xdr:cNvPr>
        <xdr:cNvCxnSpPr/>
      </xdr:nvCxnSpPr>
      <xdr:spPr>
        <a:xfrm>
          <a:off x="923925" y="282255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447675</xdr:colOff>
      <xdr:row>17</xdr:row>
      <xdr:rowOff>104775</xdr:rowOff>
    </xdr:from>
    <xdr:ext cx="201339" cy="172227"/>
    <xdr:sp macro="" textlink="$C$45">
      <xdr:nvSpPr>
        <xdr:cNvPr id="43" name="TextBox 42">
          <a:extLst>
            <a:ext uri="{FF2B5EF4-FFF2-40B4-BE49-F238E27FC236}">
              <a16:creationId xmlns:a16="http://schemas.microsoft.com/office/drawing/2014/main" id="{2A3A21A0-E304-40E2-ADA6-0B089735D067}"/>
            </a:ext>
          </a:extLst>
        </xdr:cNvPr>
        <xdr:cNvSpPr txBox="1"/>
      </xdr:nvSpPr>
      <xdr:spPr>
        <a:xfrm>
          <a:off x="447675" y="485775"/>
          <a:ext cx="20002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89DAE0C3-FCC9-473B-8F08-061C303B24E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d</a:t>
          </a:fld>
          <a:endParaRPr lang="en-US" sz="1100"/>
        </a:p>
      </xdr:txBody>
    </xdr:sp>
    <xdr:clientData/>
  </xdr:oneCellAnchor>
  <xdr:twoCellAnchor editAs="oneCell">
    <xdr:from>
      <xdr:col>2</xdr:col>
      <xdr:colOff>371475</xdr:colOff>
      <xdr:row>17</xdr:row>
      <xdr:rowOff>9525</xdr:rowOff>
    </xdr:from>
    <xdr:to>
      <xdr:col>6</xdr:col>
      <xdr:colOff>17394</xdr:colOff>
      <xdr:row>29</xdr:row>
      <xdr:rowOff>171450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4885BD8-7A3F-4EF5-8A63-BCE252705FF0}"/>
            </a:ext>
          </a:extLst>
        </xdr:cNvPr>
        <xdr:cNvCxnSpPr/>
      </xdr:nvCxnSpPr>
      <xdr:spPr>
        <a:xfrm>
          <a:off x="1590675" y="390525"/>
          <a:ext cx="3067050" cy="2447925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257175</xdr:colOff>
      <xdr:row>19</xdr:row>
      <xdr:rowOff>9525</xdr:rowOff>
    </xdr:from>
    <xdr:to>
      <xdr:col>5</xdr:col>
      <xdr:colOff>1493355</xdr:colOff>
      <xdr:row>31</xdr:row>
      <xdr:rowOff>171450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697FA44-4F8B-48F0-820A-7A8DC6ABDDFC}"/>
            </a:ext>
          </a:extLst>
        </xdr:cNvPr>
        <xdr:cNvCxnSpPr/>
      </xdr:nvCxnSpPr>
      <xdr:spPr>
        <a:xfrm>
          <a:off x="1476375" y="771525"/>
          <a:ext cx="3067050" cy="2447925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152400</xdr:colOff>
      <xdr:row>20</xdr:row>
      <xdr:rowOff>171450</xdr:rowOff>
    </xdr:from>
    <xdr:to>
      <xdr:col>5</xdr:col>
      <xdr:colOff>1390650</xdr:colOff>
      <xdr:row>33</xdr:row>
      <xdr:rowOff>142875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347CAFE-F97A-4B83-B989-065B463DB031}"/>
            </a:ext>
          </a:extLst>
        </xdr:cNvPr>
        <xdr:cNvCxnSpPr/>
      </xdr:nvCxnSpPr>
      <xdr:spPr>
        <a:xfrm>
          <a:off x="1371600" y="1123950"/>
          <a:ext cx="3067050" cy="2447925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310427</xdr:colOff>
      <xdr:row>16</xdr:row>
      <xdr:rowOff>136545</xdr:rowOff>
    </xdr:from>
    <xdr:to>
      <xdr:col>2</xdr:col>
      <xdr:colOff>310427</xdr:colOff>
      <xdr:row>36</xdr:row>
      <xdr:rowOff>52545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8AD16160-E31E-4878-BC0D-139692A05350}"/>
            </a:ext>
          </a:extLst>
        </xdr:cNvPr>
        <xdr:cNvCxnSpPr/>
      </xdr:nvCxnSpPr>
      <xdr:spPr>
        <a:xfrm rot="6300000">
          <a:off x="-333373" y="2190045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202096</xdr:colOff>
      <xdr:row>17</xdr:row>
      <xdr:rowOff>14080</xdr:rowOff>
    </xdr:from>
    <xdr:ext cx="1583778" cy="172227"/>
    <xdr:sp macro="" textlink="$F$43">
      <xdr:nvSpPr>
        <xdr:cNvPr id="68" name="TextBox 67">
          <a:extLst>
            <a:ext uri="{FF2B5EF4-FFF2-40B4-BE49-F238E27FC236}">
              <a16:creationId xmlns:a16="http://schemas.microsoft.com/office/drawing/2014/main" id="{EC8CF7B3-0377-4163-89F9-44C32416DAED}"/>
            </a:ext>
          </a:extLst>
        </xdr:cNvPr>
        <xdr:cNvSpPr txBox="1"/>
      </xdr:nvSpPr>
      <xdr:spPr>
        <a:xfrm>
          <a:off x="2040835" y="395080"/>
          <a:ext cx="15877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5AFFBA86-EDB3-450D-A6AE-AE101BBD91C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S (3.84301414417898, 0)</a:t>
          </a:fld>
          <a:endParaRPr lang="en-US" sz="1100"/>
        </a:p>
      </xdr:txBody>
    </xdr:sp>
    <xdr:clientData/>
  </xdr:oneCellAnchor>
  <xdr:twoCellAnchor editAs="oneCell">
    <xdr:from>
      <xdr:col>1</xdr:col>
      <xdr:colOff>495300</xdr:colOff>
      <xdr:row>26</xdr:row>
      <xdr:rowOff>66675</xdr:rowOff>
    </xdr:from>
    <xdr:to>
      <xdr:col>2</xdr:col>
      <xdr:colOff>303300</xdr:colOff>
      <xdr:row>26</xdr:row>
      <xdr:rowOff>66675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35B19A4-F0D2-44E5-9385-A102BD2EE6A7}"/>
            </a:ext>
          </a:extLst>
        </xdr:cNvPr>
        <xdr:cNvCxnSpPr/>
      </xdr:nvCxnSpPr>
      <xdr:spPr>
        <a:xfrm>
          <a:off x="1104900" y="2162175"/>
          <a:ext cx="417600" cy="0"/>
        </a:xfrm>
        <a:prstGeom prst="line">
          <a:avLst/>
        </a:prstGeom>
        <a:ln w="28575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57150</xdr:colOff>
      <xdr:row>25</xdr:row>
      <xdr:rowOff>76200</xdr:rowOff>
    </xdr:from>
    <xdr:ext cx="200025" cy="172227"/>
    <xdr:sp macro="" textlink="$C$46">
      <xdr:nvSpPr>
        <xdr:cNvPr id="70" name="TextBox 69">
          <a:extLst>
            <a:ext uri="{FF2B5EF4-FFF2-40B4-BE49-F238E27FC236}">
              <a16:creationId xmlns:a16="http://schemas.microsoft.com/office/drawing/2014/main" id="{1C211EA8-DA29-48AB-94F0-842AA1F2A6BE}"/>
            </a:ext>
          </a:extLst>
        </xdr:cNvPr>
        <xdr:cNvSpPr txBox="1"/>
      </xdr:nvSpPr>
      <xdr:spPr>
        <a:xfrm>
          <a:off x="1276350" y="1981200"/>
          <a:ext cx="20002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57D5609C-7D79-4BF7-BC82-88BD73CBC93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s</a:t>
          </a:fld>
          <a:endParaRPr lang="en-US" sz="1100"/>
        </a:p>
      </xdr:txBody>
    </xdr:sp>
    <xdr:clientData/>
  </xdr:oneCellAnchor>
  <xdr:twoCellAnchor editAs="oneCell">
    <xdr:from>
      <xdr:col>3</xdr:col>
      <xdr:colOff>91353</xdr:colOff>
      <xdr:row>16</xdr:row>
      <xdr:rowOff>146070</xdr:rowOff>
    </xdr:from>
    <xdr:to>
      <xdr:col>3</xdr:col>
      <xdr:colOff>91353</xdr:colOff>
      <xdr:row>36</xdr:row>
      <xdr:rowOff>62070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44EE3A60-DE1F-4EB9-984C-18812A103332}"/>
            </a:ext>
          </a:extLst>
        </xdr:cNvPr>
        <xdr:cNvCxnSpPr/>
      </xdr:nvCxnSpPr>
      <xdr:spPr>
        <a:xfrm rot="6300000">
          <a:off x="57153" y="219957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1400006</xdr:colOff>
      <xdr:row>16</xdr:row>
      <xdr:rowOff>129505</xdr:rowOff>
    </xdr:from>
    <xdr:to>
      <xdr:col>5</xdr:col>
      <xdr:colOff>1400006</xdr:colOff>
      <xdr:row>36</xdr:row>
      <xdr:rowOff>45505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5D14D14F-798E-4040-9233-638F5E327D8A}"/>
            </a:ext>
          </a:extLst>
        </xdr:cNvPr>
        <xdr:cNvCxnSpPr/>
      </xdr:nvCxnSpPr>
      <xdr:spPr>
        <a:xfrm rot="6300000">
          <a:off x="2601571" y="2183005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994158</xdr:colOff>
      <xdr:row>16</xdr:row>
      <xdr:rowOff>137788</xdr:rowOff>
    </xdr:from>
    <xdr:to>
      <xdr:col>5</xdr:col>
      <xdr:colOff>994158</xdr:colOff>
      <xdr:row>36</xdr:row>
      <xdr:rowOff>53788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5EEE80C5-D111-4C1D-891F-421AFF521AA7}"/>
            </a:ext>
          </a:extLst>
        </xdr:cNvPr>
        <xdr:cNvCxnSpPr/>
      </xdr:nvCxnSpPr>
      <xdr:spPr>
        <a:xfrm rot="6300000">
          <a:off x="2195723" y="2191288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16</xdr:row>
      <xdr:rowOff>175177</xdr:rowOff>
    </xdr:from>
    <xdr:to>
      <xdr:col>7</xdr:col>
      <xdr:colOff>66744</xdr:colOff>
      <xdr:row>35</xdr:row>
      <xdr:rowOff>165652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324B9343-A166-401D-ABF6-C0CF36C60735}"/>
            </a:ext>
          </a:extLst>
        </xdr:cNvPr>
        <xdr:cNvGrpSpPr/>
      </xdr:nvGrpSpPr>
      <xdr:grpSpPr>
        <a:xfrm>
          <a:off x="614643" y="3223177"/>
          <a:ext cx="4674042" cy="3609975"/>
          <a:chOff x="620439" y="365677"/>
          <a:chExt cx="4701477" cy="3609975"/>
        </a:xfrm>
      </xdr:grpSpPr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EE8A3705-8805-4F6D-BF17-6CACB8B71965}"/>
              </a:ext>
            </a:extLst>
          </xdr:cNvPr>
          <xdr:cNvCxnSpPr/>
        </xdr:nvCxnSpPr>
        <xdr:spPr>
          <a:xfrm flipH="1">
            <a:off x="3756221" y="3072848"/>
            <a:ext cx="39909" cy="159027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3D0CB51B-7EAA-42FB-A23A-59139E1758B2}"/>
              </a:ext>
            </a:extLst>
          </xdr:cNvPr>
          <xdr:cNvCxnSpPr/>
        </xdr:nvCxnSpPr>
        <xdr:spPr>
          <a:xfrm>
            <a:off x="1593303" y="381000"/>
            <a:ext cx="3728613" cy="0"/>
          </a:xfrm>
          <a:prstGeom prst="line">
            <a:avLst/>
          </a:prstGeom>
          <a:ln w="28575">
            <a:solidFill>
              <a:srgbClr val="FF45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DB523A5C-3B4F-4EDD-BB64-5D5B9B1329CE}"/>
              </a:ext>
            </a:extLst>
          </xdr:cNvPr>
          <xdr:cNvCxnSpPr/>
        </xdr:nvCxnSpPr>
        <xdr:spPr>
          <a:xfrm>
            <a:off x="620439" y="3971925"/>
            <a:ext cx="3731255" cy="0"/>
          </a:xfrm>
          <a:prstGeom prst="line">
            <a:avLst/>
          </a:prstGeom>
          <a:ln w="28575">
            <a:solidFill>
              <a:srgbClr val="0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641EC6BF-3394-4606-BDFA-1404F790B8F7}"/>
              </a:ext>
            </a:extLst>
          </xdr:cNvPr>
          <xdr:cNvCxnSpPr/>
        </xdr:nvCxnSpPr>
        <xdr:spPr>
          <a:xfrm>
            <a:off x="1298028" y="1514475"/>
            <a:ext cx="1612352" cy="129540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0F34F5EC-00AB-4708-A77F-685104B4571D}"/>
              </a:ext>
            </a:extLst>
          </xdr:cNvPr>
          <xdr:cNvCxnSpPr/>
        </xdr:nvCxnSpPr>
        <xdr:spPr>
          <a:xfrm>
            <a:off x="1908941" y="779808"/>
            <a:ext cx="3308475" cy="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4A3C7FED-F89D-4590-96D4-0992B4304E26}"/>
              </a:ext>
            </a:extLst>
          </xdr:cNvPr>
          <xdr:cNvCxnSpPr/>
        </xdr:nvCxnSpPr>
        <xdr:spPr>
          <a:xfrm>
            <a:off x="2213741" y="1114425"/>
            <a:ext cx="2895587" cy="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E1638992-BDB4-4792-9936-6DF0D81E0B88}"/>
              </a:ext>
            </a:extLst>
          </xdr:cNvPr>
          <xdr:cNvCxnSpPr/>
        </xdr:nvCxnSpPr>
        <xdr:spPr>
          <a:xfrm>
            <a:off x="810939" y="3200400"/>
            <a:ext cx="2947652" cy="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29C3317E-5D65-4546-B529-72C84C0C853E}"/>
              </a:ext>
            </a:extLst>
          </xdr:cNvPr>
          <xdr:cNvCxnSpPr/>
        </xdr:nvCxnSpPr>
        <xdr:spPr>
          <a:xfrm>
            <a:off x="2996105" y="1504950"/>
            <a:ext cx="1979873" cy="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251C4D1A-E4AF-418C-AFA4-B16FD9C3DB7C}"/>
              </a:ext>
            </a:extLst>
          </xdr:cNvPr>
          <xdr:cNvCxnSpPr/>
        </xdr:nvCxnSpPr>
        <xdr:spPr>
          <a:xfrm>
            <a:off x="915714" y="2820642"/>
            <a:ext cx="1985141" cy="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48221228-35F3-4CE0-8E7F-80DCC9D46CE9}"/>
              </a:ext>
            </a:extLst>
          </xdr:cNvPr>
          <xdr:cNvCxnSpPr/>
        </xdr:nvCxnSpPr>
        <xdr:spPr>
          <a:xfrm>
            <a:off x="753789" y="3590925"/>
            <a:ext cx="3319541" cy="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A1BB3F5A-B9E0-4BDD-BC58-4B0209DA5020}"/>
              </a:ext>
            </a:extLst>
          </xdr:cNvPr>
          <xdr:cNvCxnSpPr/>
        </xdr:nvCxnSpPr>
        <xdr:spPr>
          <a:xfrm>
            <a:off x="3005630" y="1504950"/>
            <a:ext cx="1645571" cy="131445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02518B0C-1C4A-4C00-A8E2-3537417039A3}"/>
              </a:ext>
            </a:extLst>
          </xdr:cNvPr>
          <xdr:cNvCxnSpPr/>
        </xdr:nvCxnSpPr>
        <xdr:spPr>
          <a:xfrm flipH="1">
            <a:off x="1288503" y="381000"/>
            <a:ext cx="276225" cy="112395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D70BB31B-A7D6-4314-AE27-2FFE72DFAE79}"/>
              </a:ext>
            </a:extLst>
          </xdr:cNvPr>
          <xdr:cNvCxnSpPr/>
        </xdr:nvCxnSpPr>
        <xdr:spPr>
          <a:xfrm flipH="1">
            <a:off x="1741263" y="771525"/>
            <a:ext cx="158154" cy="638175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3F6240D4-79DF-4531-B3A7-387F1E502055}"/>
              </a:ext>
            </a:extLst>
          </xdr:cNvPr>
          <xdr:cNvCxnSpPr/>
        </xdr:nvCxnSpPr>
        <xdr:spPr>
          <a:xfrm>
            <a:off x="1736178" y="1419225"/>
            <a:ext cx="2072109" cy="1648664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B514E992-92FC-409A-87B9-5D9B3C85CD1F}"/>
              </a:ext>
            </a:extLst>
          </xdr:cNvPr>
          <xdr:cNvCxnSpPr/>
        </xdr:nvCxnSpPr>
        <xdr:spPr>
          <a:xfrm flipH="1">
            <a:off x="2161044" y="1110853"/>
            <a:ext cx="53889" cy="222647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2582CC28-0D59-47D9-B415-6C6AE823B6C7}"/>
              </a:ext>
            </a:extLst>
          </xdr:cNvPr>
          <xdr:cNvCxnSpPr/>
        </xdr:nvCxnSpPr>
        <xdr:spPr>
          <a:xfrm>
            <a:off x="2160254" y="1307124"/>
            <a:ext cx="2110584" cy="1677858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DFF773EC-CB97-40B0-9DC5-92A1605DE434}"/>
              </a:ext>
            </a:extLst>
          </xdr:cNvPr>
          <xdr:cNvCxnSpPr/>
        </xdr:nvCxnSpPr>
        <xdr:spPr>
          <a:xfrm flipH="1">
            <a:off x="4363221" y="2792222"/>
            <a:ext cx="290515" cy="118343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AAA22A59-2D8A-4A1A-B64F-2EA8913A8699}"/>
              </a:ext>
            </a:extLst>
          </xdr:cNvPr>
          <xdr:cNvCxnSpPr/>
        </xdr:nvCxnSpPr>
        <xdr:spPr>
          <a:xfrm flipH="1">
            <a:off x="4065047" y="2949591"/>
            <a:ext cx="183413" cy="669909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D1582C59-CFD8-44A6-83D3-58F1B2FD2584}"/>
              </a:ext>
            </a:extLst>
          </xdr:cNvPr>
          <xdr:cNvCxnSpPr/>
        </xdr:nvCxnSpPr>
        <xdr:spPr>
          <a:xfrm flipH="1">
            <a:off x="5199194" y="365677"/>
            <a:ext cx="97807" cy="397707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30679ADB-C8E7-4AB0-A8C9-64CB6B434182}"/>
              </a:ext>
            </a:extLst>
          </xdr:cNvPr>
          <xdr:cNvCxnSpPr/>
        </xdr:nvCxnSpPr>
        <xdr:spPr>
          <a:xfrm flipH="1">
            <a:off x="5000411" y="1135960"/>
            <a:ext cx="99807" cy="397707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9D8B0577-FC23-4103-9B69-29AB1556E9A2}"/>
              </a:ext>
            </a:extLst>
          </xdr:cNvPr>
          <xdr:cNvCxnSpPr/>
        </xdr:nvCxnSpPr>
        <xdr:spPr>
          <a:xfrm flipH="1">
            <a:off x="627479" y="3571047"/>
            <a:ext cx="99807" cy="397707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C5DB4164-9632-457C-99D1-41261C90CF92}"/>
              </a:ext>
            </a:extLst>
          </xdr:cNvPr>
          <xdr:cNvCxnSpPr/>
        </xdr:nvCxnSpPr>
        <xdr:spPr>
          <a:xfrm flipH="1">
            <a:off x="834544" y="2792482"/>
            <a:ext cx="99807" cy="397707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7</xdr:col>
      <xdr:colOff>53009</xdr:colOff>
      <xdr:row>15</xdr:row>
      <xdr:rowOff>163168</xdr:rowOff>
    </xdr:from>
    <xdr:ext cx="1583778" cy="172227"/>
    <xdr:sp macro="" textlink="$F$44">
      <xdr:nvSpPr>
        <xdr:cNvPr id="107" name="TextBox 106">
          <a:extLst>
            <a:ext uri="{FF2B5EF4-FFF2-40B4-BE49-F238E27FC236}">
              <a16:creationId xmlns:a16="http://schemas.microsoft.com/office/drawing/2014/main" id="{09879D15-6C0F-450F-A9FB-4EDF5D40E0E9}"/>
            </a:ext>
          </a:extLst>
        </xdr:cNvPr>
        <xdr:cNvSpPr txBox="1"/>
      </xdr:nvSpPr>
      <xdr:spPr>
        <a:xfrm>
          <a:off x="5320748" y="163168"/>
          <a:ext cx="15877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8025E3AF-E8DE-4B39-A861-BA3D6357C1A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B (12.6794919243112, 0)</a:t>
          </a:fld>
          <a:endParaRPr lang="en-US" sz="1100"/>
        </a:p>
      </xdr:txBody>
    </xdr:sp>
    <xdr:clientData/>
  </xdr:oneCellAnchor>
  <xdr:oneCellAnchor>
    <xdr:from>
      <xdr:col>5</xdr:col>
      <xdr:colOff>1220857</xdr:colOff>
      <xdr:row>36</xdr:row>
      <xdr:rowOff>38929</xdr:rowOff>
    </xdr:from>
    <xdr:ext cx="1585205" cy="172227"/>
    <xdr:sp macro="" textlink="$F$45">
      <xdr:nvSpPr>
        <xdr:cNvPr id="108" name="TextBox 107">
          <a:extLst>
            <a:ext uri="{FF2B5EF4-FFF2-40B4-BE49-F238E27FC236}">
              <a16:creationId xmlns:a16="http://schemas.microsoft.com/office/drawing/2014/main" id="{180CC82F-9139-4F6C-AF91-59A56893613C}"/>
            </a:ext>
          </a:extLst>
        </xdr:cNvPr>
        <xdr:cNvSpPr txBox="1"/>
      </xdr:nvSpPr>
      <xdr:spPr>
        <a:xfrm>
          <a:off x="4285422" y="4039429"/>
          <a:ext cx="15877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DB0B3C31-AA22-42FA-8725-BE3F0C0E628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C (10, 10)</a:t>
          </a:fld>
          <a:endParaRPr lang="en-US" sz="1100"/>
        </a:p>
      </xdr:txBody>
    </xdr:sp>
    <xdr:clientData/>
  </xdr:oneCellAnchor>
  <xdr:oneCellAnchor>
    <xdr:from>
      <xdr:col>1</xdr:col>
      <xdr:colOff>43069</xdr:colOff>
      <xdr:row>32</xdr:row>
      <xdr:rowOff>166894</xdr:rowOff>
    </xdr:from>
    <xdr:ext cx="203338" cy="172227"/>
    <xdr:sp macro="" textlink="$G$46">
      <xdr:nvSpPr>
        <xdr:cNvPr id="110" name="TextBox 109">
          <a:extLst>
            <a:ext uri="{FF2B5EF4-FFF2-40B4-BE49-F238E27FC236}">
              <a16:creationId xmlns:a16="http://schemas.microsoft.com/office/drawing/2014/main" id="{2585B9AB-021C-42E0-ADE8-67354EA9EF74}"/>
            </a:ext>
          </a:extLst>
        </xdr:cNvPr>
        <xdr:cNvSpPr txBox="1"/>
      </xdr:nvSpPr>
      <xdr:spPr>
        <a:xfrm>
          <a:off x="655982" y="3405394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178457CD-92E0-4580-A74C-890B2320245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/>
        </a:p>
      </xdr:txBody>
    </xdr:sp>
    <xdr:clientData/>
  </xdr:oneCellAnchor>
  <xdr:oneCellAnchor>
    <xdr:from>
      <xdr:col>1</xdr:col>
      <xdr:colOff>84482</xdr:colOff>
      <xdr:row>31</xdr:row>
      <xdr:rowOff>59221</xdr:rowOff>
    </xdr:from>
    <xdr:ext cx="203338" cy="172227"/>
    <xdr:sp macro="" textlink="$G$47">
      <xdr:nvSpPr>
        <xdr:cNvPr id="111" name="TextBox 110">
          <a:extLst>
            <a:ext uri="{FF2B5EF4-FFF2-40B4-BE49-F238E27FC236}">
              <a16:creationId xmlns:a16="http://schemas.microsoft.com/office/drawing/2014/main" id="{564550A7-3193-433D-84E7-A32924ECD6EE}"/>
            </a:ext>
          </a:extLst>
        </xdr:cNvPr>
        <xdr:cNvSpPr txBox="1"/>
      </xdr:nvSpPr>
      <xdr:spPr>
        <a:xfrm>
          <a:off x="697395" y="3107221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C2A9CC2A-1F10-4636-814E-4C53409CA47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</a:t>
          </a:fld>
          <a:endParaRPr lang="en-US" sz="1100"/>
        </a:p>
      </xdr:txBody>
    </xdr:sp>
    <xdr:clientData/>
  </xdr:oneCellAnchor>
  <xdr:oneCellAnchor>
    <xdr:from>
      <xdr:col>1</xdr:col>
      <xdr:colOff>167308</xdr:colOff>
      <xdr:row>29</xdr:row>
      <xdr:rowOff>75786</xdr:rowOff>
    </xdr:from>
    <xdr:ext cx="203338" cy="172227"/>
    <xdr:sp macro="" textlink="$G$48">
      <xdr:nvSpPr>
        <xdr:cNvPr id="112" name="TextBox 111">
          <a:extLst>
            <a:ext uri="{FF2B5EF4-FFF2-40B4-BE49-F238E27FC236}">
              <a16:creationId xmlns:a16="http://schemas.microsoft.com/office/drawing/2014/main" id="{BF18B316-DD7E-4555-9411-42CFAF164F0E}"/>
            </a:ext>
          </a:extLst>
        </xdr:cNvPr>
        <xdr:cNvSpPr txBox="1"/>
      </xdr:nvSpPr>
      <xdr:spPr>
        <a:xfrm>
          <a:off x="780221" y="2742786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CD7CDA71-AC23-4858-9888-6F78D85BB29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</a:t>
          </a:fld>
          <a:endParaRPr lang="en-US" sz="1100"/>
        </a:p>
      </xdr:txBody>
    </xdr:sp>
    <xdr:clientData/>
  </xdr:oneCellAnchor>
  <xdr:oneCellAnchor>
    <xdr:from>
      <xdr:col>1</xdr:col>
      <xdr:colOff>515177</xdr:colOff>
      <xdr:row>22</xdr:row>
      <xdr:rowOff>50938</xdr:rowOff>
    </xdr:from>
    <xdr:ext cx="201339" cy="172227"/>
    <xdr:sp macro="" textlink="$G$51">
      <xdr:nvSpPr>
        <xdr:cNvPr id="113" name="TextBox 112">
          <a:extLst>
            <a:ext uri="{FF2B5EF4-FFF2-40B4-BE49-F238E27FC236}">
              <a16:creationId xmlns:a16="http://schemas.microsoft.com/office/drawing/2014/main" id="{93D44AF0-7B7A-4AA1-A42A-1ADC5941D1F5}"/>
            </a:ext>
          </a:extLst>
        </xdr:cNvPr>
        <xdr:cNvSpPr txBox="1"/>
      </xdr:nvSpPr>
      <xdr:spPr>
        <a:xfrm>
          <a:off x="1128090" y="1384438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5193DC57-DDDA-485A-BAE2-2FB7225A1D7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6</a:t>
          </a:fld>
          <a:endParaRPr lang="en-US" sz="1100"/>
        </a:p>
      </xdr:txBody>
    </xdr:sp>
    <xdr:clientData/>
  </xdr:oneCellAnchor>
  <xdr:oneCellAnchor>
    <xdr:from>
      <xdr:col>2</xdr:col>
      <xdr:colOff>6592</xdr:colOff>
      <xdr:row>20</xdr:row>
      <xdr:rowOff>65812</xdr:rowOff>
    </xdr:from>
    <xdr:ext cx="203338" cy="172227"/>
    <xdr:sp macro="" textlink="$G$50">
      <xdr:nvSpPr>
        <xdr:cNvPr id="114" name="TextBox 113">
          <a:extLst>
            <a:ext uri="{FF2B5EF4-FFF2-40B4-BE49-F238E27FC236}">
              <a16:creationId xmlns:a16="http://schemas.microsoft.com/office/drawing/2014/main" id="{882CBB20-9028-43DB-AEF1-CF0049258B7A}"/>
            </a:ext>
          </a:extLst>
        </xdr:cNvPr>
        <xdr:cNvSpPr txBox="1"/>
      </xdr:nvSpPr>
      <xdr:spPr>
        <a:xfrm>
          <a:off x="1216827" y="3875812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A2A36B6B-B374-4C75-BE2A-8926787F0A6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5</a:t>
          </a:fld>
          <a:endParaRPr lang="en-US" sz="1100"/>
        </a:p>
      </xdr:txBody>
    </xdr:sp>
    <xdr:clientData/>
  </xdr:oneCellAnchor>
  <xdr:oneCellAnchor>
    <xdr:from>
      <xdr:col>2</xdr:col>
      <xdr:colOff>117612</xdr:colOff>
      <xdr:row>18</xdr:row>
      <xdr:rowOff>117199</xdr:rowOff>
    </xdr:from>
    <xdr:ext cx="203338" cy="172227"/>
    <xdr:sp macro="" textlink="$G$49">
      <xdr:nvSpPr>
        <xdr:cNvPr id="115" name="TextBox 114">
          <a:extLst>
            <a:ext uri="{FF2B5EF4-FFF2-40B4-BE49-F238E27FC236}">
              <a16:creationId xmlns:a16="http://schemas.microsoft.com/office/drawing/2014/main" id="{FB60AD12-E539-4BBE-98B6-DF5CB21A9E21}"/>
            </a:ext>
          </a:extLst>
        </xdr:cNvPr>
        <xdr:cNvSpPr txBox="1"/>
      </xdr:nvSpPr>
      <xdr:spPr>
        <a:xfrm>
          <a:off x="1343438" y="688699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F7163390-8F98-40BB-B7A0-38FC0992738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4</a:t>
          </a:fld>
          <a:endParaRPr lang="en-US" sz="1100"/>
        </a:p>
      </xdr:txBody>
    </xdr:sp>
    <xdr:clientData/>
  </xdr:oneCellAnchor>
  <xdr:oneCellAnchor>
    <xdr:from>
      <xdr:col>3</xdr:col>
      <xdr:colOff>85418</xdr:colOff>
      <xdr:row>19</xdr:row>
      <xdr:rowOff>9994</xdr:rowOff>
    </xdr:from>
    <xdr:ext cx="201338" cy="172227"/>
    <xdr:sp macro="" textlink="$G$52">
      <xdr:nvSpPr>
        <xdr:cNvPr id="116" name="TextBox 115">
          <a:extLst>
            <a:ext uri="{FF2B5EF4-FFF2-40B4-BE49-F238E27FC236}">
              <a16:creationId xmlns:a16="http://schemas.microsoft.com/office/drawing/2014/main" id="{011504FC-398F-401D-9403-FA6B69B8BC8B}"/>
            </a:ext>
          </a:extLst>
        </xdr:cNvPr>
        <xdr:cNvSpPr txBox="1"/>
      </xdr:nvSpPr>
      <xdr:spPr>
        <a:xfrm>
          <a:off x="1918531" y="3629494"/>
          <a:ext cx="201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B01C4C2C-6491-407F-ABC4-E092019162E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7</a:t>
          </a:fld>
          <a:endParaRPr lang="en-US" sz="1100"/>
        </a:p>
      </xdr:txBody>
    </xdr:sp>
    <xdr:clientData/>
  </xdr:oneCellAnchor>
  <xdr:oneCellAnchor>
    <xdr:from>
      <xdr:col>2</xdr:col>
      <xdr:colOff>573156</xdr:colOff>
      <xdr:row>21</xdr:row>
      <xdr:rowOff>150330</xdr:rowOff>
    </xdr:from>
    <xdr:ext cx="201338" cy="172227"/>
    <xdr:sp macro="" textlink="$G$53">
      <xdr:nvSpPr>
        <xdr:cNvPr id="117" name="TextBox 116">
          <a:extLst>
            <a:ext uri="{FF2B5EF4-FFF2-40B4-BE49-F238E27FC236}">
              <a16:creationId xmlns:a16="http://schemas.microsoft.com/office/drawing/2014/main" id="{6B3E68BA-2AF0-4DD2-BDEB-63A5799A78A8}"/>
            </a:ext>
          </a:extLst>
        </xdr:cNvPr>
        <xdr:cNvSpPr txBox="1"/>
      </xdr:nvSpPr>
      <xdr:spPr>
        <a:xfrm>
          <a:off x="1798982" y="1293330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68A68790-CC9B-4FF8-BA86-285D3C5657B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8</a:t>
          </a:fld>
          <a:endParaRPr lang="en-US" sz="1100"/>
        </a:p>
      </xdr:txBody>
    </xdr:sp>
    <xdr:clientData/>
  </xdr:oneCellAnchor>
  <xdr:oneCellAnchor>
    <xdr:from>
      <xdr:col>2</xdr:col>
      <xdr:colOff>59633</xdr:colOff>
      <xdr:row>28</xdr:row>
      <xdr:rowOff>158613</xdr:rowOff>
    </xdr:from>
    <xdr:ext cx="203338" cy="172227"/>
    <xdr:sp macro="" textlink="$C$43">
      <xdr:nvSpPr>
        <xdr:cNvPr id="119" name="TextBox 118">
          <a:extLst>
            <a:ext uri="{FF2B5EF4-FFF2-40B4-BE49-F238E27FC236}">
              <a16:creationId xmlns:a16="http://schemas.microsoft.com/office/drawing/2014/main" id="{ABC7406B-8D8C-4A8C-A506-7E1467F545A9}"/>
            </a:ext>
          </a:extLst>
        </xdr:cNvPr>
        <xdr:cNvSpPr txBox="1"/>
      </xdr:nvSpPr>
      <xdr:spPr>
        <a:xfrm>
          <a:off x="1285459" y="2635113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3F4138BC-2E44-45DE-8FA2-C65CF8C6A41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h</a:t>
          </a:fld>
          <a:endParaRPr lang="en-US" sz="1100"/>
        </a:p>
      </xdr:txBody>
    </xdr:sp>
    <xdr:clientData/>
  </xdr:oneCellAnchor>
  <xdr:oneCellAnchor>
    <xdr:from>
      <xdr:col>6</xdr:col>
      <xdr:colOff>92763</xdr:colOff>
      <xdr:row>29</xdr:row>
      <xdr:rowOff>108916</xdr:rowOff>
    </xdr:from>
    <xdr:ext cx="203338" cy="172227"/>
    <xdr:sp macro="" textlink="$G$60">
      <xdr:nvSpPr>
        <xdr:cNvPr id="120" name="TextBox 119">
          <a:extLst>
            <a:ext uri="{FF2B5EF4-FFF2-40B4-BE49-F238E27FC236}">
              <a16:creationId xmlns:a16="http://schemas.microsoft.com/office/drawing/2014/main" id="{00ED1703-7C96-4EBD-BB8D-18DCB4DE22A5}"/>
            </a:ext>
          </a:extLst>
        </xdr:cNvPr>
        <xdr:cNvSpPr txBox="1"/>
      </xdr:nvSpPr>
      <xdr:spPr>
        <a:xfrm>
          <a:off x="4747589" y="2775916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7D89E249-38F5-4848-80CA-3172ADD7DA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15</a:t>
          </a:fld>
          <a:endParaRPr lang="en-US" sz="1100"/>
        </a:p>
      </xdr:txBody>
    </xdr:sp>
    <xdr:clientData/>
  </xdr:oneCellAnchor>
  <xdr:oneCellAnchor>
    <xdr:from>
      <xdr:col>5</xdr:col>
      <xdr:colOff>1475959</xdr:colOff>
      <xdr:row>33</xdr:row>
      <xdr:rowOff>92351</xdr:rowOff>
    </xdr:from>
    <xdr:ext cx="202767" cy="172227"/>
    <xdr:sp macro="" textlink="$G$61">
      <xdr:nvSpPr>
        <xdr:cNvPr id="121" name="TextBox 120">
          <a:extLst>
            <a:ext uri="{FF2B5EF4-FFF2-40B4-BE49-F238E27FC236}">
              <a16:creationId xmlns:a16="http://schemas.microsoft.com/office/drawing/2014/main" id="{5EBC4792-F3D4-4FF6-BFBF-8EEECBF6FF1E}"/>
            </a:ext>
          </a:extLst>
        </xdr:cNvPr>
        <xdr:cNvSpPr txBox="1"/>
      </xdr:nvSpPr>
      <xdr:spPr>
        <a:xfrm>
          <a:off x="4540524" y="3521351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5E353C3D-4DD4-4176-8001-2D650B20017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16</a:t>
          </a:fld>
          <a:endParaRPr lang="en-US" sz="1100"/>
        </a:p>
      </xdr:txBody>
    </xdr:sp>
    <xdr:clientData/>
  </xdr:oneCellAnchor>
  <xdr:oneCellAnchor>
    <xdr:from>
      <xdr:col>6</xdr:col>
      <xdr:colOff>415784</xdr:colOff>
      <xdr:row>22</xdr:row>
      <xdr:rowOff>175177</xdr:rowOff>
    </xdr:from>
    <xdr:ext cx="201338" cy="172227"/>
    <xdr:sp macro="" textlink="$G$59">
      <xdr:nvSpPr>
        <xdr:cNvPr id="122" name="TextBox 121">
          <a:extLst>
            <a:ext uri="{FF2B5EF4-FFF2-40B4-BE49-F238E27FC236}">
              <a16:creationId xmlns:a16="http://schemas.microsoft.com/office/drawing/2014/main" id="{D37CF5CB-43D4-4785-9C53-5E766AEA43A4}"/>
            </a:ext>
          </a:extLst>
        </xdr:cNvPr>
        <xdr:cNvSpPr txBox="1"/>
      </xdr:nvSpPr>
      <xdr:spPr>
        <a:xfrm>
          <a:off x="5070610" y="1508677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68550E6C-A25E-4558-9E04-A59A170CF51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14</a:t>
          </a:fld>
          <a:endParaRPr lang="en-US" sz="1100"/>
        </a:p>
      </xdr:txBody>
    </xdr:sp>
    <xdr:clientData/>
  </xdr:oneCellAnchor>
  <xdr:oneCellAnchor>
    <xdr:from>
      <xdr:col>6</xdr:col>
      <xdr:colOff>515176</xdr:colOff>
      <xdr:row>20</xdr:row>
      <xdr:rowOff>125481</xdr:rowOff>
    </xdr:from>
    <xdr:ext cx="201338" cy="172227"/>
    <xdr:sp macro="" textlink="$G$58">
      <xdr:nvSpPr>
        <xdr:cNvPr id="123" name="TextBox 122">
          <a:extLst>
            <a:ext uri="{FF2B5EF4-FFF2-40B4-BE49-F238E27FC236}">
              <a16:creationId xmlns:a16="http://schemas.microsoft.com/office/drawing/2014/main" id="{1B85DCB9-029C-4DE7-B182-090CF1903001}"/>
            </a:ext>
          </a:extLst>
        </xdr:cNvPr>
        <xdr:cNvSpPr txBox="1"/>
      </xdr:nvSpPr>
      <xdr:spPr>
        <a:xfrm>
          <a:off x="5170002" y="1077981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1EB9568F-C41E-4C73-8679-6A25F5B4837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13</a:t>
          </a:fld>
          <a:endParaRPr lang="en-US" sz="1100"/>
        </a:p>
      </xdr:txBody>
    </xdr:sp>
    <xdr:clientData/>
  </xdr:oneCellAnchor>
  <xdr:oneCellAnchor>
    <xdr:from>
      <xdr:col>6</xdr:col>
      <xdr:colOff>606284</xdr:colOff>
      <xdr:row>18</xdr:row>
      <xdr:rowOff>150329</xdr:rowOff>
    </xdr:from>
    <xdr:ext cx="201338" cy="172227"/>
    <xdr:sp macro="" textlink="$G$57">
      <xdr:nvSpPr>
        <xdr:cNvPr id="124" name="TextBox 123">
          <a:extLst>
            <a:ext uri="{FF2B5EF4-FFF2-40B4-BE49-F238E27FC236}">
              <a16:creationId xmlns:a16="http://schemas.microsoft.com/office/drawing/2014/main" id="{DC038681-B2D3-45D1-AF61-4804FC267B61}"/>
            </a:ext>
          </a:extLst>
        </xdr:cNvPr>
        <xdr:cNvSpPr txBox="1"/>
      </xdr:nvSpPr>
      <xdr:spPr>
        <a:xfrm>
          <a:off x="5261110" y="721829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980C8020-ACA1-4CA9-BA47-4F464DCAA2D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12</a:t>
          </a:fld>
          <a:endParaRPr lang="en-US" sz="1100"/>
        </a:p>
      </xdr:txBody>
    </xdr:sp>
    <xdr:clientData/>
  </xdr:oneCellAnchor>
  <xdr:oneCellAnchor>
    <xdr:from>
      <xdr:col>3</xdr:col>
      <xdr:colOff>291545</xdr:colOff>
      <xdr:row>20</xdr:row>
      <xdr:rowOff>1242</xdr:rowOff>
    </xdr:from>
    <xdr:ext cx="203338" cy="172227"/>
    <xdr:sp macro="" textlink="$G$54">
      <xdr:nvSpPr>
        <xdr:cNvPr id="125" name="TextBox 124">
          <a:extLst>
            <a:ext uri="{FF2B5EF4-FFF2-40B4-BE49-F238E27FC236}">
              <a16:creationId xmlns:a16="http://schemas.microsoft.com/office/drawing/2014/main" id="{E2E28FEB-253B-416F-814A-99BE1446B684}"/>
            </a:ext>
          </a:extLst>
        </xdr:cNvPr>
        <xdr:cNvSpPr txBox="1"/>
      </xdr:nvSpPr>
      <xdr:spPr>
        <a:xfrm>
          <a:off x="2130284" y="953742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CD407510-76E6-4BD5-A963-0783325E892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9</a:t>
          </a:fld>
          <a:endParaRPr lang="en-US" sz="1100"/>
        </a:p>
      </xdr:txBody>
    </xdr:sp>
    <xdr:clientData/>
  </xdr:oneCellAnchor>
  <xdr:oneCellAnchor>
    <xdr:from>
      <xdr:col>3</xdr:col>
      <xdr:colOff>399219</xdr:colOff>
      <xdr:row>21</xdr:row>
      <xdr:rowOff>75786</xdr:rowOff>
    </xdr:from>
    <xdr:ext cx="203338" cy="172227"/>
    <xdr:sp macro="" textlink="$G$55">
      <xdr:nvSpPr>
        <xdr:cNvPr id="126" name="TextBox 125">
          <a:extLst>
            <a:ext uri="{FF2B5EF4-FFF2-40B4-BE49-F238E27FC236}">
              <a16:creationId xmlns:a16="http://schemas.microsoft.com/office/drawing/2014/main" id="{1EE71ED9-2479-4218-9BB7-4C766ADB12ED}"/>
            </a:ext>
          </a:extLst>
        </xdr:cNvPr>
        <xdr:cNvSpPr txBox="1"/>
      </xdr:nvSpPr>
      <xdr:spPr>
        <a:xfrm>
          <a:off x="2237958" y="1218786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A207C3E0-7DF4-4B72-8F6E-36BF8A9536B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10</a:t>
          </a:fld>
          <a:endParaRPr lang="en-US" sz="1100"/>
        </a:p>
      </xdr:txBody>
    </xdr:sp>
    <xdr:clientData/>
  </xdr:oneCellAnchor>
  <xdr:oneCellAnchor>
    <xdr:from>
      <xdr:col>4</xdr:col>
      <xdr:colOff>548306</xdr:colOff>
      <xdr:row>21</xdr:row>
      <xdr:rowOff>166894</xdr:rowOff>
    </xdr:from>
    <xdr:ext cx="201339" cy="172227"/>
    <xdr:sp macro="" textlink="$G$56">
      <xdr:nvSpPr>
        <xdr:cNvPr id="127" name="TextBox 126">
          <a:extLst>
            <a:ext uri="{FF2B5EF4-FFF2-40B4-BE49-F238E27FC236}">
              <a16:creationId xmlns:a16="http://schemas.microsoft.com/office/drawing/2014/main" id="{14E0880E-2533-4D11-A192-481D5AABAE2F}"/>
            </a:ext>
          </a:extLst>
        </xdr:cNvPr>
        <xdr:cNvSpPr txBox="1"/>
      </xdr:nvSpPr>
      <xdr:spPr>
        <a:xfrm>
          <a:off x="2999958" y="1309894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D65BDCFC-3535-42E5-9900-AC9F13C229C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11</a:t>
          </a:fld>
          <a:endParaRPr lang="en-US" sz="1100"/>
        </a:p>
      </xdr:txBody>
    </xdr:sp>
    <xdr:clientData/>
  </xdr:oneCellAnchor>
  <xdr:oneCellAnchor>
    <xdr:from>
      <xdr:col>5</xdr:col>
      <xdr:colOff>1210915</xdr:colOff>
      <xdr:row>30</xdr:row>
      <xdr:rowOff>1242</xdr:rowOff>
    </xdr:from>
    <xdr:ext cx="203338" cy="172227"/>
    <xdr:sp macro="" textlink="$C$43">
      <xdr:nvSpPr>
        <xdr:cNvPr id="128" name="TextBox 127">
          <a:extLst>
            <a:ext uri="{FF2B5EF4-FFF2-40B4-BE49-F238E27FC236}">
              <a16:creationId xmlns:a16="http://schemas.microsoft.com/office/drawing/2014/main" id="{0A9EED62-45E9-412A-9148-FABD0136A3F6}"/>
            </a:ext>
          </a:extLst>
        </xdr:cNvPr>
        <xdr:cNvSpPr txBox="1"/>
      </xdr:nvSpPr>
      <xdr:spPr>
        <a:xfrm>
          <a:off x="4275480" y="2858742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3F4138BC-2E44-45DE-8FA2-C65CF8C6A41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h</a:t>
          </a:fld>
          <a:endParaRPr lang="en-US" sz="1100"/>
        </a:p>
      </xdr:txBody>
    </xdr:sp>
    <xdr:clientData/>
  </xdr:oneCellAnchor>
  <xdr:oneCellAnchor>
    <xdr:from>
      <xdr:col>5</xdr:col>
      <xdr:colOff>1045263</xdr:colOff>
      <xdr:row>33</xdr:row>
      <xdr:rowOff>158612</xdr:rowOff>
    </xdr:from>
    <xdr:ext cx="203338" cy="172227"/>
    <xdr:sp macro="" textlink="$C$43">
      <xdr:nvSpPr>
        <xdr:cNvPr id="130" name="TextBox 129">
          <a:extLst>
            <a:ext uri="{FF2B5EF4-FFF2-40B4-BE49-F238E27FC236}">
              <a16:creationId xmlns:a16="http://schemas.microsoft.com/office/drawing/2014/main" id="{866AB7FC-4735-4ABA-96A5-22FE3DED719C}"/>
            </a:ext>
          </a:extLst>
        </xdr:cNvPr>
        <xdr:cNvSpPr txBox="1"/>
      </xdr:nvSpPr>
      <xdr:spPr>
        <a:xfrm>
          <a:off x="4109828" y="3587612"/>
          <a:ext cx="2033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fld id="{3F4138BC-2E44-45DE-8FA2-C65CF8C6A41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h</a:t>
          </a:fld>
          <a:endParaRPr lang="en-US" sz="1100"/>
        </a:p>
      </xdr:txBody>
    </xdr:sp>
    <xdr:clientData/>
  </xdr:oneCellAnchor>
  <xdr:twoCellAnchor editAs="oneCell">
    <xdr:from>
      <xdr:col>7</xdr:col>
      <xdr:colOff>479150</xdr:colOff>
      <xdr:row>17</xdr:row>
      <xdr:rowOff>8283</xdr:rowOff>
    </xdr:from>
    <xdr:to>
      <xdr:col>13</xdr:col>
      <xdr:colOff>538854</xdr:colOff>
      <xdr:row>17</xdr:row>
      <xdr:rowOff>8283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642A5489-EE77-48F8-8C31-F3D3FA05FC63}"/>
            </a:ext>
          </a:extLst>
        </xdr:cNvPr>
        <xdr:cNvCxnSpPr/>
      </xdr:nvCxnSpPr>
      <xdr:spPr>
        <a:xfrm>
          <a:off x="5746889" y="389283"/>
          <a:ext cx="3737182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8528</xdr:colOff>
      <xdr:row>16</xdr:row>
      <xdr:rowOff>129504</xdr:rowOff>
    </xdr:from>
    <xdr:to>
      <xdr:col>7</xdr:col>
      <xdr:colOff>8528</xdr:colOff>
      <xdr:row>36</xdr:row>
      <xdr:rowOff>45504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2C4DF4C3-4024-447F-B30A-45D65EE08081}"/>
            </a:ext>
          </a:extLst>
        </xdr:cNvPr>
        <xdr:cNvCxnSpPr/>
      </xdr:nvCxnSpPr>
      <xdr:spPr>
        <a:xfrm rot="6300000">
          <a:off x="3413267" y="2183004"/>
          <a:ext cx="3726000" cy="0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147846</xdr:colOff>
      <xdr:row>35</xdr:row>
      <xdr:rowOff>173935</xdr:rowOff>
    </xdr:from>
    <xdr:to>
      <xdr:col>12</xdr:col>
      <xdr:colOff>207550</xdr:colOff>
      <xdr:row>35</xdr:row>
      <xdr:rowOff>173935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C5A64673-92D6-4512-9420-4A121C3D09B7}"/>
            </a:ext>
          </a:extLst>
        </xdr:cNvPr>
        <xdr:cNvCxnSpPr/>
      </xdr:nvCxnSpPr>
      <xdr:spPr>
        <a:xfrm>
          <a:off x="4802672" y="3983935"/>
          <a:ext cx="3737182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367164</xdr:colOff>
      <xdr:row>16</xdr:row>
      <xdr:rowOff>160150</xdr:rowOff>
    </xdr:from>
    <xdr:to>
      <xdr:col>7</xdr:col>
      <xdr:colOff>367164</xdr:colOff>
      <xdr:row>36</xdr:row>
      <xdr:rowOff>76150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D0E838-EC8A-4E60-9D8E-5983BECC0D41}"/>
            </a:ext>
          </a:extLst>
        </xdr:cNvPr>
        <xdr:cNvCxnSpPr/>
      </xdr:nvCxnSpPr>
      <xdr:spPr>
        <a:xfrm rot="6300000">
          <a:off x="3771903" y="221365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52424</xdr:colOff>
      <xdr:row>16</xdr:row>
      <xdr:rowOff>151867</xdr:rowOff>
    </xdr:from>
    <xdr:to>
      <xdr:col>13</xdr:col>
      <xdr:colOff>52424</xdr:colOff>
      <xdr:row>36</xdr:row>
      <xdr:rowOff>67867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9D89416-08BB-428D-87A3-B64B88EDFCC3}"/>
            </a:ext>
          </a:extLst>
        </xdr:cNvPr>
        <xdr:cNvCxnSpPr/>
      </xdr:nvCxnSpPr>
      <xdr:spPr>
        <a:xfrm rot="6300000">
          <a:off x="7134641" y="2205367"/>
          <a:ext cx="3726000" cy="0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300901</xdr:colOff>
      <xdr:row>16</xdr:row>
      <xdr:rowOff>160150</xdr:rowOff>
    </xdr:from>
    <xdr:to>
      <xdr:col>12</xdr:col>
      <xdr:colOff>300901</xdr:colOff>
      <xdr:row>36</xdr:row>
      <xdr:rowOff>76150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D250573-2643-437A-8BD2-9BEA5BAD9B40}"/>
            </a:ext>
          </a:extLst>
        </xdr:cNvPr>
        <xdr:cNvCxnSpPr/>
      </xdr:nvCxnSpPr>
      <xdr:spPr>
        <a:xfrm rot="6300000">
          <a:off x="6770205" y="2213650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574227</xdr:colOff>
      <xdr:row>16</xdr:row>
      <xdr:rowOff>168433</xdr:rowOff>
    </xdr:from>
    <xdr:to>
      <xdr:col>11</xdr:col>
      <xdr:colOff>574227</xdr:colOff>
      <xdr:row>36</xdr:row>
      <xdr:rowOff>84433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1676515E-4929-495F-BDBA-8A2A91AB5906}"/>
            </a:ext>
          </a:extLst>
        </xdr:cNvPr>
        <xdr:cNvCxnSpPr/>
      </xdr:nvCxnSpPr>
      <xdr:spPr>
        <a:xfrm rot="6300000">
          <a:off x="6430618" y="2221933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135249</xdr:colOff>
      <xdr:row>16</xdr:row>
      <xdr:rowOff>143586</xdr:rowOff>
    </xdr:from>
    <xdr:to>
      <xdr:col>8</xdr:col>
      <xdr:colOff>135249</xdr:colOff>
      <xdr:row>36</xdr:row>
      <xdr:rowOff>59586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486A4DCD-6AB3-4732-923D-408219C0CB29}"/>
            </a:ext>
          </a:extLst>
        </xdr:cNvPr>
        <xdr:cNvCxnSpPr/>
      </xdr:nvCxnSpPr>
      <xdr:spPr>
        <a:xfrm rot="6300000">
          <a:off x="4152901" y="2197086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507966</xdr:colOff>
      <xdr:row>16</xdr:row>
      <xdr:rowOff>168433</xdr:rowOff>
    </xdr:from>
    <xdr:to>
      <xdr:col>8</xdr:col>
      <xdr:colOff>507966</xdr:colOff>
      <xdr:row>36</xdr:row>
      <xdr:rowOff>84433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40E6BDAA-511E-4D41-89FF-B1ADF85579C6}"/>
            </a:ext>
          </a:extLst>
        </xdr:cNvPr>
        <xdr:cNvCxnSpPr/>
      </xdr:nvCxnSpPr>
      <xdr:spPr>
        <a:xfrm rot="6300000">
          <a:off x="4525618" y="2221933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218075</xdr:colOff>
      <xdr:row>16</xdr:row>
      <xdr:rowOff>151868</xdr:rowOff>
    </xdr:from>
    <xdr:to>
      <xdr:col>11</xdr:col>
      <xdr:colOff>218075</xdr:colOff>
      <xdr:row>36</xdr:row>
      <xdr:rowOff>67868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107FEF89-DEA0-4CDD-BB4F-AF7657BC5F49}"/>
            </a:ext>
          </a:extLst>
        </xdr:cNvPr>
        <xdr:cNvCxnSpPr/>
      </xdr:nvCxnSpPr>
      <xdr:spPr>
        <a:xfrm rot="6300000">
          <a:off x="6074466" y="2205368"/>
          <a:ext cx="3726000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496957</xdr:colOff>
      <xdr:row>17</xdr:row>
      <xdr:rowOff>24848</xdr:rowOff>
    </xdr:from>
    <xdr:to>
      <xdr:col>10</xdr:col>
      <xdr:colOff>331305</xdr:colOff>
      <xdr:row>35</xdr:row>
      <xdr:rowOff>140804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B0FD33D2-5637-4219-B8C0-827710057FD3}"/>
            </a:ext>
          </a:extLst>
        </xdr:cNvPr>
        <xdr:cNvCxnSpPr/>
      </xdr:nvCxnSpPr>
      <xdr:spPr>
        <a:xfrm>
          <a:off x="5764696" y="405848"/>
          <a:ext cx="1673087" cy="3544956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604631</xdr:colOff>
      <xdr:row>17</xdr:row>
      <xdr:rowOff>49695</xdr:rowOff>
    </xdr:from>
    <xdr:to>
      <xdr:col>11</xdr:col>
      <xdr:colOff>430696</xdr:colOff>
      <xdr:row>35</xdr:row>
      <xdr:rowOff>149087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EE53EC46-60D3-430D-817B-FD8E9F2104B6}"/>
            </a:ext>
          </a:extLst>
        </xdr:cNvPr>
        <xdr:cNvCxnSpPr/>
      </xdr:nvCxnSpPr>
      <xdr:spPr>
        <a:xfrm>
          <a:off x="6485283" y="430695"/>
          <a:ext cx="1664804" cy="3528392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248478</xdr:colOff>
      <xdr:row>17</xdr:row>
      <xdr:rowOff>24847</xdr:rowOff>
    </xdr:from>
    <xdr:to>
      <xdr:col>11</xdr:col>
      <xdr:colOff>82826</xdr:colOff>
      <xdr:row>35</xdr:row>
      <xdr:rowOff>107674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B78BA9A8-5838-43F0-B6D8-96DB0E2495C6}"/>
            </a:ext>
          </a:extLst>
        </xdr:cNvPr>
        <xdr:cNvCxnSpPr/>
      </xdr:nvCxnSpPr>
      <xdr:spPr>
        <a:xfrm>
          <a:off x="6129130" y="405847"/>
          <a:ext cx="1673087" cy="3511827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389283</xdr:colOff>
      <xdr:row>17</xdr:row>
      <xdr:rowOff>33130</xdr:rowOff>
    </xdr:from>
    <xdr:to>
      <xdr:col>12</xdr:col>
      <xdr:colOff>198783</xdr:colOff>
      <xdr:row>35</xdr:row>
      <xdr:rowOff>173935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5CD90FE0-83E7-4D74-B10A-1A81EE81D3ED}"/>
            </a:ext>
          </a:extLst>
        </xdr:cNvPr>
        <xdr:cNvCxnSpPr/>
      </xdr:nvCxnSpPr>
      <xdr:spPr>
        <a:xfrm>
          <a:off x="6882848" y="414130"/>
          <a:ext cx="1648239" cy="3569805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397151</xdr:colOff>
      <xdr:row>19</xdr:row>
      <xdr:rowOff>6463</xdr:rowOff>
    </xdr:from>
    <xdr:to>
      <xdr:col>13</xdr:col>
      <xdr:colOff>456855</xdr:colOff>
      <xdr:row>19</xdr:row>
      <xdr:rowOff>6463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6E2C81E2-160A-4BFE-AFB6-F0C48B522883}"/>
            </a:ext>
          </a:extLst>
        </xdr:cNvPr>
        <xdr:cNvCxnSpPr/>
      </xdr:nvCxnSpPr>
      <xdr:spPr>
        <a:xfrm>
          <a:off x="5664890" y="768463"/>
          <a:ext cx="3737182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314325</xdr:colOff>
      <xdr:row>20</xdr:row>
      <xdr:rowOff>147267</xdr:rowOff>
    </xdr:from>
    <xdr:to>
      <xdr:col>13</xdr:col>
      <xdr:colOff>374029</xdr:colOff>
      <xdr:row>20</xdr:row>
      <xdr:rowOff>147267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2713BB98-38CC-4A83-9945-D9C8BEC0500D}"/>
            </a:ext>
          </a:extLst>
        </xdr:cNvPr>
        <xdr:cNvCxnSpPr/>
      </xdr:nvCxnSpPr>
      <xdr:spPr>
        <a:xfrm>
          <a:off x="5582064" y="1099767"/>
          <a:ext cx="3737182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198368</xdr:colOff>
      <xdr:row>22</xdr:row>
      <xdr:rowOff>172115</xdr:rowOff>
    </xdr:from>
    <xdr:to>
      <xdr:col>13</xdr:col>
      <xdr:colOff>258072</xdr:colOff>
      <xdr:row>22</xdr:row>
      <xdr:rowOff>172115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B2614770-00C0-4B48-84F9-939D10A6A7B6}"/>
            </a:ext>
          </a:extLst>
        </xdr:cNvPr>
        <xdr:cNvCxnSpPr/>
      </xdr:nvCxnSpPr>
      <xdr:spPr>
        <a:xfrm>
          <a:off x="5466107" y="1505615"/>
          <a:ext cx="3737182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248064</xdr:colOff>
      <xdr:row>33</xdr:row>
      <xdr:rowOff>172115</xdr:rowOff>
    </xdr:from>
    <xdr:to>
      <xdr:col>12</xdr:col>
      <xdr:colOff>307768</xdr:colOff>
      <xdr:row>33</xdr:row>
      <xdr:rowOff>172115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D3AD3380-AE36-4E32-BA31-C3319A03E969}"/>
            </a:ext>
          </a:extLst>
        </xdr:cNvPr>
        <xdr:cNvCxnSpPr/>
      </xdr:nvCxnSpPr>
      <xdr:spPr>
        <a:xfrm>
          <a:off x="4902890" y="3601115"/>
          <a:ext cx="3737182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347455</xdr:colOff>
      <xdr:row>31</xdr:row>
      <xdr:rowOff>172115</xdr:rowOff>
    </xdr:from>
    <xdr:to>
      <xdr:col>12</xdr:col>
      <xdr:colOff>407159</xdr:colOff>
      <xdr:row>31</xdr:row>
      <xdr:rowOff>172115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85A5B9E1-791C-4ED2-ADE7-BE7FEA4AEF3F}"/>
            </a:ext>
          </a:extLst>
        </xdr:cNvPr>
        <xdr:cNvCxnSpPr/>
      </xdr:nvCxnSpPr>
      <xdr:spPr>
        <a:xfrm>
          <a:off x="5002281" y="3220115"/>
          <a:ext cx="3737182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455129</xdr:colOff>
      <xdr:row>29</xdr:row>
      <xdr:rowOff>188680</xdr:rowOff>
    </xdr:from>
    <xdr:to>
      <xdr:col>12</xdr:col>
      <xdr:colOff>514833</xdr:colOff>
      <xdr:row>29</xdr:row>
      <xdr:rowOff>188680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D3F37A2F-1A80-439B-9E96-91E2145A8B4A}"/>
            </a:ext>
          </a:extLst>
        </xdr:cNvPr>
        <xdr:cNvCxnSpPr/>
      </xdr:nvCxnSpPr>
      <xdr:spPr>
        <a:xfrm>
          <a:off x="5109955" y="2855680"/>
          <a:ext cx="3737182" cy="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604876</xdr:colOff>
      <xdr:row>16</xdr:row>
      <xdr:rowOff>162634</xdr:rowOff>
    </xdr:from>
    <xdr:to>
      <xdr:col>6</xdr:col>
      <xdr:colOff>604876</xdr:colOff>
      <xdr:row>36</xdr:row>
      <xdr:rowOff>78634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6A7C9F7A-8FB9-4A07-A86B-94E56BB6AD79}"/>
            </a:ext>
          </a:extLst>
        </xdr:cNvPr>
        <xdr:cNvCxnSpPr/>
      </xdr:nvCxnSpPr>
      <xdr:spPr>
        <a:xfrm rot="6300000">
          <a:off x="3396702" y="2216134"/>
          <a:ext cx="3726000" cy="0"/>
        </a:xfrm>
        <a:prstGeom prst="line">
          <a:avLst/>
        </a:prstGeom>
        <a:ln w="38100">
          <a:solidFill>
            <a:srgbClr val="FF45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141759</xdr:colOff>
      <xdr:row>17</xdr:row>
      <xdr:rowOff>19049</xdr:rowOff>
    </xdr:from>
    <xdr:to>
      <xdr:col>12</xdr:col>
      <xdr:colOff>84862</xdr:colOff>
      <xdr:row>27</xdr:row>
      <xdr:rowOff>189130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B8DE26D1-6FDD-4F07-807F-3E1062F5CECB}"/>
            </a:ext>
          </a:extLst>
        </xdr:cNvPr>
        <xdr:cNvCxnSpPr/>
      </xdr:nvCxnSpPr>
      <xdr:spPr>
        <a:xfrm flipH="1">
          <a:off x="7861150" y="400049"/>
          <a:ext cx="556016" cy="2075081"/>
        </a:xfrm>
        <a:prstGeom prst="line">
          <a:avLst/>
        </a:prstGeom>
        <a:ln w="38100">
          <a:solidFill>
            <a:srgbClr val="FF45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306457</xdr:colOff>
      <xdr:row>17</xdr:row>
      <xdr:rowOff>2484</xdr:rowOff>
    </xdr:from>
    <xdr:to>
      <xdr:col>12</xdr:col>
      <xdr:colOff>449297</xdr:colOff>
      <xdr:row>31</xdr:row>
      <xdr:rowOff>155993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AEAE38F9-16DC-4721-A568-C2CE78EAE749}"/>
            </a:ext>
          </a:extLst>
        </xdr:cNvPr>
        <xdr:cNvCxnSpPr/>
      </xdr:nvCxnSpPr>
      <xdr:spPr>
        <a:xfrm flipH="1">
          <a:off x="8025848" y="383484"/>
          <a:ext cx="755753" cy="2820509"/>
        </a:xfrm>
        <a:prstGeom prst="line">
          <a:avLst/>
        </a:prstGeom>
        <a:ln w="38100">
          <a:solidFill>
            <a:srgbClr val="FF45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381000</xdr:colOff>
      <xdr:row>17</xdr:row>
      <xdr:rowOff>24848</xdr:rowOff>
    </xdr:from>
    <xdr:to>
      <xdr:col>11</xdr:col>
      <xdr:colOff>132522</xdr:colOff>
      <xdr:row>28</xdr:row>
      <xdr:rowOff>41413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8618C434-9555-4940-AA98-85EF2633774C}"/>
            </a:ext>
          </a:extLst>
        </xdr:cNvPr>
        <xdr:cNvCxnSpPr/>
      </xdr:nvCxnSpPr>
      <xdr:spPr>
        <a:xfrm>
          <a:off x="6874565" y="405848"/>
          <a:ext cx="977348" cy="2112065"/>
        </a:xfrm>
        <a:prstGeom prst="line">
          <a:avLst/>
        </a:prstGeom>
        <a:ln w="38100">
          <a:solidFill>
            <a:srgbClr val="FF45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490746</xdr:colOff>
      <xdr:row>17</xdr:row>
      <xdr:rowOff>11596</xdr:rowOff>
    </xdr:from>
    <xdr:to>
      <xdr:col>9</xdr:col>
      <xdr:colOff>389283</xdr:colOff>
      <xdr:row>17</xdr:row>
      <xdr:rowOff>11596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C41529D4-4EC7-4AD3-8F58-F182148F0008}"/>
            </a:ext>
          </a:extLst>
        </xdr:cNvPr>
        <xdr:cNvCxnSpPr/>
      </xdr:nvCxnSpPr>
      <xdr:spPr>
        <a:xfrm>
          <a:off x="5758485" y="392596"/>
          <a:ext cx="1124363" cy="0"/>
        </a:xfrm>
        <a:prstGeom prst="line">
          <a:avLst/>
        </a:prstGeom>
        <a:ln w="38100">
          <a:solidFill>
            <a:srgbClr val="FF45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153992</xdr:colOff>
      <xdr:row>19</xdr:row>
      <xdr:rowOff>0</xdr:rowOff>
    </xdr:from>
    <xdr:to>
      <xdr:col>11</xdr:col>
      <xdr:colOff>54991</xdr:colOff>
      <xdr:row>31</xdr:row>
      <xdr:rowOff>149087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D884391F-E61A-4C1D-92CA-2FD9BFAFF4A0}"/>
            </a:ext>
          </a:extLst>
        </xdr:cNvPr>
        <xdr:cNvCxnSpPr/>
      </xdr:nvCxnSpPr>
      <xdr:spPr>
        <a:xfrm>
          <a:off x="6647557" y="762000"/>
          <a:ext cx="1126825" cy="2435087"/>
        </a:xfrm>
        <a:prstGeom prst="line">
          <a:avLst/>
        </a:prstGeom>
        <a:ln w="38100">
          <a:solidFill>
            <a:srgbClr val="FF45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142877</xdr:colOff>
      <xdr:row>19</xdr:row>
      <xdr:rowOff>11596</xdr:rowOff>
    </xdr:from>
    <xdr:to>
      <xdr:col>9</xdr:col>
      <xdr:colOff>157370</xdr:colOff>
      <xdr:row>19</xdr:row>
      <xdr:rowOff>11596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54838D32-B9B2-45A1-A8CB-0C3A2ABE1527}"/>
            </a:ext>
          </a:extLst>
        </xdr:cNvPr>
        <xdr:cNvCxnSpPr/>
      </xdr:nvCxnSpPr>
      <xdr:spPr>
        <a:xfrm>
          <a:off x="6023529" y="773596"/>
          <a:ext cx="627406" cy="0"/>
        </a:xfrm>
        <a:prstGeom prst="line">
          <a:avLst/>
        </a:prstGeom>
        <a:ln w="38100">
          <a:solidFill>
            <a:srgbClr val="FF45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511362</xdr:colOff>
      <xdr:row>19</xdr:row>
      <xdr:rowOff>10766</xdr:rowOff>
    </xdr:from>
    <xdr:to>
      <xdr:col>8</xdr:col>
      <xdr:colOff>142838</xdr:colOff>
      <xdr:row>35</xdr:row>
      <xdr:rowOff>162259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DBDB7F25-415F-4DB8-9BE3-F883080D6BAD}"/>
            </a:ext>
          </a:extLst>
        </xdr:cNvPr>
        <xdr:cNvCxnSpPr/>
      </xdr:nvCxnSpPr>
      <xdr:spPr>
        <a:xfrm flipH="1">
          <a:off x="5166188" y="772766"/>
          <a:ext cx="857302" cy="3199493"/>
        </a:xfrm>
        <a:prstGeom prst="line">
          <a:avLst/>
        </a:prstGeom>
        <a:ln w="38100">
          <a:solidFill>
            <a:srgbClr val="FF45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584688</xdr:colOff>
      <xdr:row>20</xdr:row>
      <xdr:rowOff>140804</xdr:rowOff>
    </xdr:from>
    <xdr:to>
      <xdr:col>10</xdr:col>
      <xdr:colOff>524014</xdr:colOff>
      <xdr:row>33</xdr:row>
      <xdr:rowOff>182217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9F480313-9F5E-44B5-8175-A88C7310BF4E}"/>
            </a:ext>
          </a:extLst>
        </xdr:cNvPr>
        <xdr:cNvCxnSpPr/>
      </xdr:nvCxnSpPr>
      <xdr:spPr>
        <a:xfrm>
          <a:off x="6465340" y="1093304"/>
          <a:ext cx="1165152" cy="2517913"/>
        </a:xfrm>
        <a:prstGeom prst="line">
          <a:avLst/>
        </a:prstGeom>
        <a:ln w="381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592970</xdr:colOff>
      <xdr:row>25</xdr:row>
      <xdr:rowOff>8282</xdr:rowOff>
    </xdr:from>
    <xdr:to>
      <xdr:col>10</xdr:col>
      <xdr:colOff>313830</xdr:colOff>
      <xdr:row>35</xdr:row>
      <xdr:rowOff>149087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77E787D7-DAFB-4A8A-A0F5-C3DCEC866F99}"/>
            </a:ext>
          </a:extLst>
        </xdr:cNvPr>
        <xdr:cNvCxnSpPr/>
      </xdr:nvCxnSpPr>
      <xdr:spPr>
        <a:xfrm>
          <a:off x="6473622" y="1913282"/>
          <a:ext cx="946686" cy="2045805"/>
        </a:xfrm>
        <a:prstGeom prst="line">
          <a:avLst/>
        </a:prstGeom>
        <a:ln w="381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333377</xdr:colOff>
      <xdr:row>35</xdr:row>
      <xdr:rowOff>160683</xdr:rowOff>
    </xdr:from>
    <xdr:to>
      <xdr:col>12</xdr:col>
      <xdr:colOff>190500</xdr:colOff>
      <xdr:row>35</xdr:row>
      <xdr:rowOff>160683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D579849C-020A-48E4-ABFB-CA7A2367CE37}"/>
            </a:ext>
          </a:extLst>
        </xdr:cNvPr>
        <xdr:cNvCxnSpPr/>
      </xdr:nvCxnSpPr>
      <xdr:spPr>
        <a:xfrm>
          <a:off x="7439855" y="3970683"/>
          <a:ext cx="1082949" cy="0"/>
        </a:xfrm>
        <a:prstGeom prst="line">
          <a:avLst/>
        </a:prstGeom>
        <a:ln w="28575">
          <a:solidFill>
            <a:srgbClr val="008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182218</xdr:colOff>
      <xdr:row>17</xdr:row>
      <xdr:rowOff>16565</xdr:rowOff>
    </xdr:from>
    <xdr:to>
      <xdr:col>13</xdr:col>
      <xdr:colOff>521806</xdr:colOff>
      <xdr:row>35</xdr:row>
      <xdr:rowOff>173935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5BF20E68-7802-41E1-84FD-C2329344C0E2}"/>
            </a:ext>
          </a:extLst>
        </xdr:cNvPr>
        <xdr:cNvCxnSpPr/>
      </xdr:nvCxnSpPr>
      <xdr:spPr>
        <a:xfrm flipH="1">
          <a:off x="8514522" y="397565"/>
          <a:ext cx="952501" cy="3586370"/>
        </a:xfrm>
        <a:prstGeom prst="line">
          <a:avLst/>
        </a:prstGeom>
        <a:ln w="381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554534</xdr:colOff>
      <xdr:row>17</xdr:row>
      <xdr:rowOff>8283</xdr:rowOff>
    </xdr:from>
    <xdr:to>
      <xdr:col>13</xdr:col>
      <xdr:colOff>182220</xdr:colOff>
      <xdr:row>33</xdr:row>
      <xdr:rowOff>173935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574DDB7A-35C9-4198-BC06-5ADAF27D6923}"/>
            </a:ext>
          </a:extLst>
        </xdr:cNvPr>
        <xdr:cNvCxnSpPr/>
      </xdr:nvCxnSpPr>
      <xdr:spPr>
        <a:xfrm flipH="1">
          <a:off x="8273925" y="389283"/>
          <a:ext cx="853512" cy="3213652"/>
        </a:xfrm>
        <a:prstGeom prst="line">
          <a:avLst/>
        </a:prstGeom>
        <a:ln w="381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548724</xdr:colOff>
      <xdr:row>33</xdr:row>
      <xdr:rowOff>177248</xdr:rowOff>
    </xdr:from>
    <xdr:to>
      <xdr:col>11</xdr:col>
      <xdr:colOff>571500</xdr:colOff>
      <xdr:row>33</xdr:row>
      <xdr:rowOff>177248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0127081F-5FF6-4650-91FA-996575F62B8C}"/>
            </a:ext>
          </a:extLst>
        </xdr:cNvPr>
        <xdr:cNvCxnSpPr/>
      </xdr:nvCxnSpPr>
      <xdr:spPr>
        <a:xfrm>
          <a:off x="7655202" y="3606248"/>
          <a:ext cx="635689" cy="0"/>
        </a:xfrm>
        <a:prstGeom prst="line">
          <a:avLst/>
        </a:prstGeom>
        <a:ln w="38100">
          <a:solidFill>
            <a:srgbClr val="008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76615</xdr:colOff>
      <xdr:row>31</xdr:row>
      <xdr:rowOff>177248</xdr:rowOff>
    </xdr:from>
    <xdr:to>
      <xdr:col>11</xdr:col>
      <xdr:colOff>306457</xdr:colOff>
      <xdr:row>31</xdr:row>
      <xdr:rowOff>177248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A21D980E-E35A-410A-BCB0-6ED1A6BA5957}"/>
            </a:ext>
          </a:extLst>
        </xdr:cNvPr>
        <xdr:cNvCxnSpPr/>
      </xdr:nvCxnSpPr>
      <xdr:spPr>
        <a:xfrm>
          <a:off x="7796006" y="3225248"/>
          <a:ext cx="229842" cy="0"/>
        </a:xfrm>
        <a:prstGeom prst="line">
          <a:avLst/>
        </a:prstGeom>
        <a:ln w="38100">
          <a:solidFill>
            <a:srgbClr val="FF45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267115</xdr:colOff>
      <xdr:row>35</xdr:row>
      <xdr:rowOff>160683</xdr:rowOff>
    </xdr:from>
    <xdr:to>
      <xdr:col>8</xdr:col>
      <xdr:colOff>41413</xdr:colOff>
      <xdr:row>35</xdr:row>
      <xdr:rowOff>160683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C452AC42-5E6A-47DD-93B9-4C739D15EB8B}"/>
            </a:ext>
          </a:extLst>
        </xdr:cNvPr>
        <xdr:cNvCxnSpPr/>
      </xdr:nvCxnSpPr>
      <xdr:spPr>
        <a:xfrm>
          <a:off x="5534854" y="3970683"/>
          <a:ext cx="387211" cy="0"/>
        </a:xfrm>
        <a:prstGeom prst="line">
          <a:avLst/>
        </a:prstGeom>
        <a:ln w="38100">
          <a:solidFill>
            <a:srgbClr val="008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167724</xdr:colOff>
      <xdr:row>17</xdr:row>
      <xdr:rowOff>3313</xdr:rowOff>
    </xdr:from>
    <xdr:to>
      <xdr:col>13</xdr:col>
      <xdr:colOff>554935</xdr:colOff>
      <xdr:row>17</xdr:row>
      <xdr:rowOff>3313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1075AB73-FC83-417B-89E0-C654E108A1EF}"/>
            </a:ext>
          </a:extLst>
        </xdr:cNvPr>
        <xdr:cNvCxnSpPr/>
      </xdr:nvCxnSpPr>
      <xdr:spPr>
        <a:xfrm>
          <a:off x="9112941" y="384313"/>
          <a:ext cx="387211" cy="0"/>
        </a:xfrm>
        <a:prstGeom prst="line">
          <a:avLst/>
        </a:prstGeom>
        <a:ln w="38100">
          <a:solidFill>
            <a:srgbClr val="008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68333</xdr:colOff>
      <xdr:row>17</xdr:row>
      <xdr:rowOff>3313</xdr:rowOff>
    </xdr:from>
    <xdr:to>
      <xdr:col>12</xdr:col>
      <xdr:colOff>463826</xdr:colOff>
      <xdr:row>17</xdr:row>
      <xdr:rowOff>3313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BD6BEC6C-5113-43EA-B15C-0C9D8FADF98C}"/>
            </a:ext>
          </a:extLst>
        </xdr:cNvPr>
        <xdr:cNvCxnSpPr/>
      </xdr:nvCxnSpPr>
      <xdr:spPr>
        <a:xfrm>
          <a:off x="8400637" y="384313"/>
          <a:ext cx="395493" cy="0"/>
        </a:xfrm>
        <a:prstGeom prst="line">
          <a:avLst/>
        </a:prstGeom>
        <a:ln w="38100">
          <a:solidFill>
            <a:srgbClr val="FF45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281208</xdr:colOff>
      <xdr:row>20</xdr:row>
      <xdr:rowOff>132522</xdr:rowOff>
    </xdr:from>
    <xdr:to>
      <xdr:col>8</xdr:col>
      <xdr:colOff>425017</xdr:colOff>
      <xdr:row>35</xdr:row>
      <xdr:rowOff>124239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75C79091-1B9E-48D6-9456-CFCF8441F2A9}"/>
            </a:ext>
          </a:extLst>
        </xdr:cNvPr>
        <xdr:cNvCxnSpPr/>
      </xdr:nvCxnSpPr>
      <xdr:spPr>
        <a:xfrm flipH="1">
          <a:off x="5548947" y="1085022"/>
          <a:ext cx="756722" cy="2849217"/>
        </a:xfrm>
        <a:prstGeom prst="line">
          <a:avLst/>
        </a:prstGeom>
        <a:ln w="381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441050</xdr:colOff>
      <xdr:row>20</xdr:row>
      <xdr:rowOff>152401</xdr:rowOff>
    </xdr:from>
    <xdr:to>
      <xdr:col>9</xdr:col>
      <xdr:colOff>16565</xdr:colOff>
      <xdr:row>20</xdr:row>
      <xdr:rowOff>152401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606B5802-22E2-47BC-87A6-A4C27B0C2F9D}"/>
            </a:ext>
          </a:extLst>
        </xdr:cNvPr>
        <xdr:cNvCxnSpPr/>
      </xdr:nvCxnSpPr>
      <xdr:spPr>
        <a:xfrm>
          <a:off x="6321702" y="1104901"/>
          <a:ext cx="188428" cy="0"/>
        </a:xfrm>
        <a:prstGeom prst="line">
          <a:avLst/>
        </a:prstGeom>
        <a:ln w="38100">
          <a:solidFill>
            <a:srgbClr val="008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45642</xdr:colOff>
      <xdr:row>25</xdr:row>
      <xdr:rowOff>33131</xdr:rowOff>
    </xdr:from>
    <xdr:to>
      <xdr:col>8</xdr:col>
      <xdr:colOff>582387</xdr:colOff>
      <xdr:row>35</xdr:row>
      <xdr:rowOff>149087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93F6FAE7-6358-41B1-BAEB-6EC40C9A5CB2}"/>
            </a:ext>
          </a:extLst>
        </xdr:cNvPr>
        <xdr:cNvCxnSpPr/>
      </xdr:nvCxnSpPr>
      <xdr:spPr>
        <a:xfrm flipH="1">
          <a:off x="5926294" y="1938131"/>
          <a:ext cx="536745" cy="2020956"/>
        </a:xfrm>
        <a:prstGeom prst="line">
          <a:avLst/>
        </a:prstGeom>
        <a:ln w="38100">
          <a:solidFill>
            <a:srgbClr val="008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118028</xdr:colOff>
      <xdr:row>35</xdr:row>
      <xdr:rowOff>160682</xdr:rowOff>
    </xdr:from>
    <xdr:to>
      <xdr:col>6</xdr:col>
      <xdr:colOff>513521</xdr:colOff>
      <xdr:row>35</xdr:row>
      <xdr:rowOff>160682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1134AB5F-F113-4C4B-A698-409C3E22FB4B}"/>
            </a:ext>
          </a:extLst>
        </xdr:cNvPr>
        <xdr:cNvCxnSpPr/>
      </xdr:nvCxnSpPr>
      <xdr:spPr>
        <a:xfrm>
          <a:off x="4772854" y="3970682"/>
          <a:ext cx="395493" cy="0"/>
        </a:xfrm>
        <a:prstGeom prst="line">
          <a:avLst/>
        </a:prstGeom>
        <a:ln w="38100">
          <a:solidFill>
            <a:srgbClr val="FF45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217634</xdr:colOff>
      <xdr:row>14</xdr:row>
      <xdr:rowOff>22626</xdr:rowOff>
    </xdr:from>
    <xdr:to>
      <xdr:col>20</xdr:col>
      <xdr:colOff>162126</xdr:colOff>
      <xdr:row>38</xdr:row>
      <xdr:rowOff>152103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69382528-EC75-4388-A3FC-EF3CA38035E4}"/>
            </a:ext>
          </a:extLst>
        </xdr:cNvPr>
        <xdr:cNvGrpSpPr/>
      </xdr:nvGrpSpPr>
      <xdr:grpSpPr>
        <a:xfrm rot="6240000" flipV="1">
          <a:off x="9112259" y="3252766"/>
          <a:ext cx="4701477" cy="3575198"/>
          <a:chOff x="620439" y="365677"/>
          <a:chExt cx="4701477" cy="3609975"/>
        </a:xfrm>
      </xdr:grpSpPr>
      <xdr:cxnSp macro="">
        <xdr:nvCxnSpPr>
          <xdr:cNvPr id="206" name="Straight Connector 205">
            <a:extLst>
              <a:ext uri="{FF2B5EF4-FFF2-40B4-BE49-F238E27FC236}">
                <a16:creationId xmlns:a16="http://schemas.microsoft.com/office/drawing/2014/main" id="{D65BA14F-D0BE-45A2-8A7E-79DA61C21295}"/>
              </a:ext>
            </a:extLst>
          </xdr:cNvPr>
          <xdr:cNvCxnSpPr/>
        </xdr:nvCxnSpPr>
        <xdr:spPr>
          <a:xfrm flipH="1">
            <a:off x="3756221" y="3072848"/>
            <a:ext cx="39909" cy="159027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EEDBC048-F3B2-4BE1-A42B-6D3B226651C0}"/>
              </a:ext>
            </a:extLst>
          </xdr:cNvPr>
          <xdr:cNvCxnSpPr/>
        </xdr:nvCxnSpPr>
        <xdr:spPr>
          <a:xfrm>
            <a:off x="1593303" y="381000"/>
            <a:ext cx="3728613" cy="0"/>
          </a:xfrm>
          <a:prstGeom prst="line">
            <a:avLst/>
          </a:prstGeom>
          <a:ln w="28575">
            <a:solidFill>
              <a:srgbClr val="FF45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Straight Connector 207">
            <a:extLst>
              <a:ext uri="{FF2B5EF4-FFF2-40B4-BE49-F238E27FC236}">
                <a16:creationId xmlns:a16="http://schemas.microsoft.com/office/drawing/2014/main" id="{38451D67-BFBD-4896-8DC9-F1033C21FCCF}"/>
              </a:ext>
            </a:extLst>
          </xdr:cNvPr>
          <xdr:cNvCxnSpPr/>
        </xdr:nvCxnSpPr>
        <xdr:spPr>
          <a:xfrm>
            <a:off x="620439" y="3971925"/>
            <a:ext cx="3731255" cy="0"/>
          </a:xfrm>
          <a:prstGeom prst="line">
            <a:avLst/>
          </a:prstGeom>
          <a:ln w="28575">
            <a:solidFill>
              <a:srgbClr val="0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" name="Straight Connector 208">
            <a:extLst>
              <a:ext uri="{FF2B5EF4-FFF2-40B4-BE49-F238E27FC236}">
                <a16:creationId xmlns:a16="http://schemas.microsoft.com/office/drawing/2014/main" id="{15ECB76F-8BFE-4681-A014-2F92037410BC}"/>
              </a:ext>
            </a:extLst>
          </xdr:cNvPr>
          <xdr:cNvCxnSpPr/>
        </xdr:nvCxnSpPr>
        <xdr:spPr>
          <a:xfrm>
            <a:off x="1298028" y="1514475"/>
            <a:ext cx="1612352" cy="129540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Straight Connector 209">
            <a:extLst>
              <a:ext uri="{FF2B5EF4-FFF2-40B4-BE49-F238E27FC236}">
                <a16:creationId xmlns:a16="http://schemas.microsoft.com/office/drawing/2014/main" id="{6ED10626-7F55-4219-91A8-786363354D1A}"/>
              </a:ext>
            </a:extLst>
          </xdr:cNvPr>
          <xdr:cNvCxnSpPr/>
        </xdr:nvCxnSpPr>
        <xdr:spPr>
          <a:xfrm>
            <a:off x="1908941" y="779808"/>
            <a:ext cx="3308475" cy="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1" name="Straight Connector 210">
            <a:extLst>
              <a:ext uri="{FF2B5EF4-FFF2-40B4-BE49-F238E27FC236}">
                <a16:creationId xmlns:a16="http://schemas.microsoft.com/office/drawing/2014/main" id="{502EB88C-286E-4801-B889-A0A24E991936}"/>
              </a:ext>
            </a:extLst>
          </xdr:cNvPr>
          <xdr:cNvCxnSpPr/>
        </xdr:nvCxnSpPr>
        <xdr:spPr>
          <a:xfrm>
            <a:off x="2213741" y="1114425"/>
            <a:ext cx="2895587" cy="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159B4041-D9EC-4440-9421-47F10A7C7E8B}"/>
              </a:ext>
            </a:extLst>
          </xdr:cNvPr>
          <xdr:cNvCxnSpPr/>
        </xdr:nvCxnSpPr>
        <xdr:spPr>
          <a:xfrm>
            <a:off x="810939" y="3200400"/>
            <a:ext cx="2947652" cy="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C4892AC9-CD72-442B-92E4-21128EC9A8B3}"/>
              </a:ext>
            </a:extLst>
          </xdr:cNvPr>
          <xdr:cNvCxnSpPr/>
        </xdr:nvCxnSpPr>
        <xdr:spPr>
          <a:xfrm>
            <a:off x="2996105" y="1504950"/>
            <a:ext cx="1979873" cy="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A98ACFF9-A7FA-4860-8743-2D3982E74B23}"/>
              </a:ext>
            </a:extLst>
          </xdr:cNvPr>
          <xdr:cNvCxnSpPr/>
        </xdr:nvCxnSpPr>
        <xdr:spPr>
          <a:xfrm>
            <a:off x="915714" y="2820642"/>
            <a:ext cx="1985141" cy="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Straight Connector 214">
            <a:extLst>
              <a:ext uri="{FF2B5EF4-FFF2-40B4-BE49-F238E27FC236}">
                <a16:creationId xmlns:a16="http://schemas.microsoft.com/office/drawing/2014/main" id="{8B5D85B3-75E8-478A-9879-0196762D112F}"/>
              </a:ext>
            </a:extLst>
          </xdr:cNvPr>
          <xdr:cNvCxnSpPr/>
        </xdr:nvCxnSpPr>
        <xdr:spPr>
          <a:xfrm>
            <a:off x="753789" y="3590925"/>
            <a:ext cx="3319541" cy="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6" name="Straight Connector 215">
            <a:extLst>
              <a:ext uri="{FF2B5EF4-FFF2-40B4-BE49-F238E27FC236}">
                <a16:creationId xmlns:a16="http://schemas.microsoft.com/office/drawing/2014/main" id="{23D5C4A2-3D26-4AF6-A05D-68F166B11BD1}"/>
              </a:ext>
            </a:extLst>
          </xdr:cNvPr>
          <xdr:cNvCxnSpPr/>
        </xdr:nvCxnSpPr>
        <xdr:spPr>
          <a:xfrm>
            <a:off x="3005630" y="1504950"/>
            <a:ext cx="1645571" cy="131445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Straight Connector 216">
            <a:extLst>
              <a:ext uri="{FF2B5EF4-FFF2-40B4-BE49-F238E27FC236}">
                <a16:creationId xmlns:a16="http://schemas.microsoft.com/office/drawing/2014/main" id="{D291E7BB-929E-4635-BDA5-5C7A32CC976D}"/>
              </a:ext>
            </a:extLst>
          </xdr:cNvPr>
          <xdr:cNvCxnSpPr/>
        </xdr:nvCxnSpPr>
        <xdr:spPr>
          <a:xfrm flipH="1">
            <a:off x="1288503" y="381000"/>
            <a:ext cx="276225" cy="1123950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150438B7-8730-4C9C-BE48-3F15E256A290}"/>
              </a:ext>
            </a:extLst>
          </xdr:cNvPr>
          <xdr:cNvCxnSpPr/>
        </xdr:nvCxnSpPr>
        <xdr:spPr>
          <a:xfrm flipH="1">
            <a:off x="1741263" y="771525"/>
            <a:ext cx="158154" cy="638175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59F74E42-18BC-49C9-89EA-68A424E87144}"/>
              </a:ext>
            </a:extLst>
          </xdr:cNvPr>
          <xdr:cNvCxnSpPr/>
        </xdr:nvCxnSpPr>
        <xdr:spPr>
          <a:xfrm>
            <a:off x="1736178" y="1419225"/>
            <a:ext cx="2072109" cy="1648664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Straight Connector 219">
            <a:extLst>
              <a:ext uri="{FF2B5EF4-FFF2-40B4-BE49-F238E27FC236}">
                <a16:creationId xmlns:a16="http://schemas.microsoft.com/office/drawing/2014/main" id="{171AAB10-695C-4015-9457-AB3854C9B487}"/>
              </a:ext>
            </a:extLst>
          </xdr:cNvPr>
          <xdr:cNvCxnSpPr/>
        </xdr:nvCxnSpPr>
        <xdr:spPr>
          <a:xfrm flipH="1">
            <a:off x="2161044" y="1110853"/>
            <a:ext cx="53889" cy="222647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5EE2F7BD-A26E-4C24-8BAF-9B607E5BBD21}"/>
              </a:ext>
            </a:extLst>
          </xdr:cNvPr>
          <xdr:cNvCxnSpPr/>
        </xdr:nvCxnSpPr>
        <xdr:spPr>
          <a:xfrm>
            <a:off x="2160254" y="1307124"/>
            <a:ext cx="2110584" cy="1677858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0CB83E11-FC59-4395-88A1-B998D77911BF}"/>
              </a:ext>
            </a:extLst>
          </xdr:cNvPr>
          <xdr:cNvCxnSpPr/>
        </xdr:nvCxnSpPr>
        <xdr:spPr>
          <a:xfrm flipH="1">
            <a:off x="4363221" y="2792222"/>
            <a:ext cx="290515" cy="1183430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" name="Straight Connector 222">
            <a:extLst>
              <a:ext uri="{FF2B5EF4-FFF2-40B4-BE49-F238E27FC236}">
                <a16:creationId xmlns:a16="http://schemas.microsoft.com/office/drawing/2014/main" id="{328F781D-D86D-4D0F-B526-73FE8EBE4C6E}"/>
              </a:ext>
            </a:extLst>
          </xdr:cNvPr>
          <xdr:cNvCxnSpPr/>
        </xdr:nvCxnSpPr>
        <xdr:spPr>
          <a:xfrm flipH="1">
            <a:off x="4065047" y="2949591"/>
            <a:ext cx="183413" cy="669909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97308718-1867-460F-BE77-21FCE74630AF}"/>
              </a:ext>
            </a:extLst>
          </xdr:cNvPr>
          <xdr:cNvCxnSpPr/>
        </xdr:nvCxnSpPr>
        <xdr:spPr>
          <a:xfrm flipH="1">
            <a:off x="5199194" y="365677"/>
            <a:ext cx="97807" cy="397707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13361A90-6F55-411B-8BDE-A5F04EBE1EFB}"/>
              </a:ext>
            </a:extLst>
          </xdr:cNvPr>
          <xdr:cNvCxnSpPr/>
        </xdr:nvCxnSpPr>
        <xdr:spPr>
          <a:xfrm flipH="1">
            <a:off x="5000411" y="1135960"/>
            <a:ext cx="99807" cy="397707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0B06E712-C82E-4BE0-BCBC-400807A29B75}"/>
              </a:ext>
            </a:extLst>
          </xdr:cNvPr>
          <xdr:cNvCxnSpPr/>
        </xdr:nvCxnSpPr>
        <xdr:spPr>
          <a:xfrm flipH="1">
            <a:off x="627479" y="3571047"/>
            <a:ext cx="99807" cy="397707"/>
          </a:xfrm>
          <a:prstGeom prst="line">
            <a:avLst/>
          </a:prstGeom>
          <a:ln w="28575">
            <a:solidFill>
              <a:srgbClr val="008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7" name="Straight Connector 226">
            <a:extLst>
              <a:ext uri="{FF2B5EF4-FFF2-40B4-BE49-F238E27FC236}">
                <a16:creationId xmlns:a16="http://schemas.microsoft.com/office/drawing/2014/main" id="{DD3F1AC3-12D4-4E09-811C-3D5EC5525935}"/>
              </a:ext>
            </a:extLst>
          </xdr:cNvPr>
          <xdr:cNvCxnSpPr/>
        </xdr:nvCxnSpPr>
        <xdr:spPr>
          <a:xfrm flipH="1">
            <a:off x="834544" y="2792482"/>
            <a:ext cx="99807" cy="397707"/>
          </a:xfrm>
          <a:prstGeom prst="line">
            <a:avLst/>
          </a:prstGeom>
          <a:ln w="28575">
            <a:solidFill>
              <a:srgbClr val="FF45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481853</xdr:colOff>
      <xdr:row>52</xdr:row>
      <xdr:rowOff>33617</xdr:rowOff>
    </xdr:from>
    <xdr:to>
      <xdr:col>6</xdr:col>
      <xdr:colOff>313764</xdr:colOff>
      <xdr:row>62</xdr:row>
      <xdr:rowOff>9797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3A2D4B86-897D-4236-B59F-532CE3E7A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853" y="9939617"/>
          <a:ext cx="4448735" cy="1881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954A-D264-4FB3-B4F2-FF65278E0509}">
  <dimension ref="B39:L69"/>
  <sheetViews>
    <sheetView tabSelected="1" topLeftCell="A16" zoomScale="85" zoomScaleNormal="85" workbookViewId="0">
      <selection activeCell="L44" sqref="L44:L53"/>
    </sheetView>
  </sheetViews>
  <sheetFormatPr defaultRowHeight="15" x14ac:dyDescent="0.25"/>
  <cols>
    <col min="6" max="6" width="23.85546875" bestFit="1" customWidth="1"/>
  </cols>
  <sheetData>
    <row r="39" spans="3:12" x14ac:dyDescent="0.25">
      <c r="C39" t="s">
        <v>6</v>
      </c>
      <c r="D39" t="s">
        <v>7</v>
      </c>
      <c r="F39" t="s">
        <v>4</v>
      </c>
      <c r="G39" t="s">
        <v>1</v>
      </c>
      <c r="H39" t="s">
        <v>2</v>
      </c>
      <c r="I39" t="s">
        <v>3</v>
      </c>
    </row>
    <row r="40" spans="3:12" x14ac:dyDescent="0.25">
      <c r="C40" t="s">
        <v>5</v>
      </c>
      <c r="D40" s="1">
        <v>15</v>
      </c>
      <c r="F40" t="str">
        <f t="shared" ref="F40:F45" si="0">G40&amp;" ("&amp;H40&amp;", "&amp;I40&amp;")"</f>
        <v>O (0, 0)</v>
      </c>
      <c r="G40" t="s">
        <v>0</v>
      </c>
      <c r="H40">
        <v>0</v>
      </c>
      <c r="I40">
        <v>0</v>
      </c>
    </row>
    <row r="41" spans="3:12" x14ac:dyDescent="0.25">
      <c r="F41" t="str">
        <f t="shared" si="0"/>
        <v>D (0, 10)</v>
      </c>
      <c r="G41" t="s">
        <v>8</v>
      </c>
      <c r="H41">
        <v>0</v>
      </c>
      <c r="I41" s="2">
        <f>D43</f>
        <v>10</v>
      </c>
      <c r="L41" t="s">
        <v>19</v>
      </c>
    </row>
    <row r="42" spans="3:12" x14ac:dyDescent="0.25">
      <c r="C42" t="s">
        <v>9</v>
      </c>
      <c r="D42" t="s">
        <v>10</v>
      </c>
      <c r="F42" s="3" t="str">
        <f t="shared" si="0"/>
        <v>A (2.67949192431123, 0)</v>
      </c>
      <c r="G42" t="s">
        <v>13</v>
      </c>
      <c r="H42" s="2">
        <f>D43*TAN(RADIANS(D40))</f>
        <v>2.6794919243112272</v>
      </c>
      <c r="I42">
        <v>0</v>
      </c>
    </row>
    <row r="43" spans="3:12" x14ac:dyDescent="0.25">
      <c r="C43" t="s">
        <v>11</v>
      </c>
      <c r="D43" s="1">
        <v>10</v>
      </c>
      <c r="F43" t="str">
        <f t="shared" si="0"/>
        <v>S (3.84301414417898, 0)</v>
      </c>
      <c r="G43" t="s">
        <v>16</v>
      </c>
      <c r="H43" s="2">
        <f>H42+D46</f>
        <v>3.8430141441789756</v>
      </c>
      <c r="I43">
        <v>0</v>
      </c>
    </row>
    <row r="44" spans="3:12" x14ac:dyDescent="0.25">
      <c r="C44" t="s">
        <v>12</v>
      </c>
      <c r="D44" s="2">
        <f>D43/COS(RADIANS(D40))</f>
        <v>10.35276180410083</v>
      </c>
      <c r="F44" t="str">
        <f t="shared" si="0"/>
        <v>B (12.6794919243112, 0)</v>
      </c>
      <c r="G44" t="s">
        <v>17</v>
      </c>
      <c r="H44" s="2">
        <f>H42+D43</f>
        <v>12.679491924311227</v>
      </c>
      <c r="I44">
        <v>0</v>
      </c>
      <c r="L44" t="s">
        <v>25</v>
      </c>
    </row>
    <row r="45" spans="3:12" x14ac:dyDescent="0.25">
      <c r="C45" t="s">
        <v>14</v>
      </c>
      <c r="D45">
        <f>D43/(6+3*COS(RADIANS(D40)))</f>
        <v>1.1238761616314461</v>
      </c>
      <c r="F45" t="str">
        <f t="shared" si="0"/>
        <v>C (10, 10)</v>
      </c>
      <c r="G45" t="s">
        <v>18</v>
      </c>
      <c r="H45" s="2">
        <f>D43</f>
        <v>10</v>
      </c>
      <c r="I45" s="2">
        <f>D43</f>
        <v>10</v>
      </c>
      <c r="L45" t="s">
        <v>26</v>
      </c>
    </row>
    <row r="46" spans="3:12" x14ac:dyDescent="0.25">
      <c r="C46" t="s">
        <v>15</v>
      </c>
      <c r="D46">
        <f>D45/COS(RADIANS(D40))</f>
        <v>1.1635222198677486</v>
      </c>
      <c r="G46">
        <v>1</v>
      </c>
      <c r="H46" s="2">
        <f>$D$45*TAN(RADIANS($D$40))*G46</f>
        <v>0.30114170990173589</v>
      </c>
      <c r="I46" s="2">
        <f>$I$41-$D$45*G46</f>
        <v>8.876123838368553</v>
      </c>
      <c r="L46" t="s">
        <v>27</v>
      </c>
    </row>
    <row r="47" spans="3:12" x14ac:dyDescent="0.25">
      <c r="G47">
        <v>2</v>
      </c>
      <c r="H47" s="2">
        <f t="shared" ref="H47:H48" si="1">$D$45*TAN(RADIANS($D$40))*G47</f>
        <v>0.60228341980347178</v>
      </c>
      <c r="I47" s="2">
        <f t="shared" ref="I47:I48" si="2">$I$41-$D$45*G47</f>
        <v>7.7522476767371078</v>
      </c>
      <c r="L47" t="s">
        <v>28</v>
      </c>
    </row>
    <row r="48" spans="3:12" x14ac:dyDescent="0.25">
      <c r="C48" t="s">
        <v>20</v>
      </c>
      <c r="G48">
        <v>3</v>
      </c>
      <c r="H48" s="2">
        <f t="shared" si="1"/>
        <v>0.90342512970520761</v>
      </c>
      <c r="I48" s="2">
        <f t="shared" si="2"/>
        <v>6.6283715151056617</v>
      </c>
      <c r="L48" t="s">
        <v>29</v>
      </c>
    </row>
    <row r="49" spans="2:12" x14ac:dyDescent="0.25">
      <c r="G49">
        <v>4</v>
      </c>
      <c r="H49" s="2">
        <f>$H$42-$D$45*TAN(RADIANS($D$40))*(G49-3)</f>
        <v>2.3783502144094912</v>
      </c>
      <c r="I49" s="2">
        <f>$D$45*(G49-3)</f>
        <v>1.1238761616314461</v>
      </c>
      <c r="L49" t="s">
        <v>30</v>
      </c>
    </row>
    <row r="50" spans="2:12" x14ac:dyDescent="0.25">
      <c r="B50" t="s">
        <v>21</v>
      </c>
      <c r="C50" t="s">
        <v>22</v>
      </c>
      <c r="G50">
        <v>5</v>
      </c>
      <c r="H50" s="2">
        <f t="shared" ref="H50:H51" si="3">$H$42-$D$45*TAN(RADIANS($D$40))*(G50-3)</f>
        <v>2.0772085045077553</v>
      </c>
      <c r="I50" s="2">
        <f t="shared" ref="I50:I51" si="4">$D$45*(G50-3)</f>
        <v>2.2477523232628922</v>
      </c>
      <c r="L50" t="s">
        <v>31</v>
      </c>
    </row>
    <row r="51" spans="2:12" x14ac:dyDescent="0.25">
      <c r="B51" s="4" t="s">
        <v>23</v>
      </c>
      <c r="C51" t="s">
        <v>24</v>
      </c>
      <c r="G51">
        <v>6</v>
      </c>
      <c r="H51" s="2">
        <f t="shared" si="3"/>
        <v>1.7760667946060196</v>
      </c>
      <c r="I51" s="2">
        <f t="shared" si="4"/>
        <v>3.3716284848943383</v>
      </c>
      <c r="L51" t="s">
        <v>32</v>
      </c>
    </row>
    <row r="52" spans="2:12" x14ac:dyDescent="0.25">
      <c r="G52">
        <v>7</v>
      </c>
      <c r="H52" s="2">
        <f>H49+D46</f>
        <v>3.5418724342772396</v>
      </c>
      <c r="I52" s="2">
        <f>I49</f>
        <v>1.1238761616314461</v>
      </c>
      <c r="L52" t="s">
        <v>33</v>
      </c>
    </row>
    <row r="53" spans="2:12" x14ac:dyDescent="0.25">
      <c r="G53">
        <v>8</v>
      </c>
      <c r="L53" t="s">
        <v>34</v>
      </c>
    </row>
    <row r="54" spans="2:12" x14ac:dyDescent="0.25">
      <c r="G54">
        <v>9</v>
      </c>
    </row>
    <row r="55" spans="2:12" x14ac:dyDescent="0.25">
      <c r="G55">
        <v>10</v>
      </c>
    </row>
    <row r="56" spans="2:12" x14ac:dyDescent="0.25">
      <c r="G56">
        <v>11</v>
      </c>
    </row>
    <row r="57" spans="2:12" x14ac:dyDescent="0.25">
      <c r="G57">
        <v>12</v>
      </c>
      <c r="H57">
        <f>H49+$D$43</f>
        <v>12.37835021440949</v>
      </c>
      <c r="I57">
        <f>I49</f>
        <v>1.1238761616314461</v>
      </c>
    </row>
    <row r="58" spans="2:12" x14ac:dyDescent="0.25">
      <c r="G58">
        <v>13</v>
      </c>
      <c r="H58">
        <f t="shared" ref="H58:H59" si="5">H50+$D$43</f>
        <v>12.077208504507755</v>
      </c>
      <c r="I58">
        <f t="shared" ref="I58:I59" si="6">I50</f>
        <v>2.2477523232628922</v>
      </c>
    </row>
    <row r="59" spans="2:12" x14ac:dyDescent="0.25">
      <c r="G59">
        <v>14</v>
      </c>
      <c r="H59">
        <f t="shared" si="5"/>
        <v>11.77606679460602</v>
      </c>
      <c r="I59">
        <f t="shared" si="6"/>
        <v>3.3716284848943383</v>
      </c>
    </row>
    <row r="60" spans="2:12" x14ac:dyDescent="0.25">
      <c r="G60">
        <v>15</v>
      </c>
      <c r="H60">
        <f>H48+D43</f>
        <v>10.903425129705207</v>
      </c>
      <c r="I60">
        <f>I48</f>
        <v>6.6283715151056617</v>
      </c>
    </row>
    <row r="61" spans="2:12" x14ac:dyDescent="0.25">
      <c r="G61">
        <v>16</v>
      </c>
      <c r="H61">
        <f>H46+D43</f>
        <v>10.301141709901735</v>
      </c>
      <c r="I61">
        <f>I46</f>
        <v>8.876123838368553</v>
      </c>
    </row>
    <row r="62" spans="2:12" x14ac:dyDescent="0.25">
      <c r="G62">
        <v>17</v>
      </c>
    </row>
    <row r="63" spans="2:12" x14ac:dyDescent="0.25">
      <c r="G63">
        <v>18</v>
      </c>
    </row>
    <row r="64" spans="2:12" x14ac:dyDescent="0.25">
      <c r="G64">
        <v>19</v>
      </c>
    </row>
    <row r="65" spans="7:7" x14ac:dyDescent="0.25">
      <c r="G65">
        <v>20</v>
      </c>
    </row>
    <row r="66" spans="7:7" x14ac:dyDescent="0.25">
      <c r="G66">
        <v>21</v>
      </c>
    </row>
    <row r="67" spans="7:7" x14ac:dyDescent="0.25">
      <c r="G67">
        <v>22</v>
      </c>
    </row>
    <row r="68" spans="7:7" x14ac:dyDescent="0.25">
      <c r="G68">
        <v>23</v>
      </c>
    </row>
    <row r="69" spans="7:7" x14ac:dyDescent="0.25">
      <c r="G69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2026-07-12T14:44:02Z</dcterms:created>
  <dcterms:modified xsi:type="dcterms:W3CDTF">2026-07-12T18:59:13Z</dcterms:modified>
</cp:coreProperties>
</file>