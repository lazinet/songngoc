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_SW\projects\songngoc\logo-redraw\"/>
    </mc:Choice>
  </mc:AlternateContent>
  <xr:revisionPtr revIDLastSave="0" documentId="13_ncr:1_{184E71D2-D043-4BDF-A3D9-3A1098CC594A}" xr6:coauthVersionLast="47" xr6:coauthVersionMax="47" xr10:uidLastSave="{00000000-0000-0000-0000-000000000000}"/>
  <bookViews>
    <workbookView xWindow="-120" yWindow="-120" windowWidth="29040" windowHeight="15720" xr2:uid="{04659C94-BF80-4A12-9C8B-08F5045ED352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1" i="1" l="1"/>
  <c r="I45" i="1"/>
  <c r="I67" i="1" s="1"/>
  <c r="I68" i="1" s="1"/>
  <c r="I44" i="1"/>
  <c r="I43" i="1"/>
  <c r="I42" i="1"/>
  <c r="I41" i="1"/>
  <c r="I40" i="1"/>
  <c r="H40" i="1"/>
  <c r="F40" i="1" s="1"/>
  <c r="H41" i="1"/>
  <c r="I46" i="1"/>
  <c r="I64" i="1" s="1"/>
  <c r="I71" i="1" s="1"/>
  <c r="D45" i="1"/>
  <c r="I51" i="1" s="1"/>
  <c r="I59" i="1" s="1"/>
  <c r="H42" i="1"/>
  <c r="D44" i="1"/>
  <c r="H46" i="1" s="1"/>
  <c r="L43" i="1"/>
  <c r="L60" i="1"/>
  <c r="L41" i="1"/>
  <c r="K70" i="1"/>
  <c r="K48" i="1"/>
  <c r="L56" i="1"/>
  <c r="K41" i="1"/>
  <c r="K60" i="1"/>
  <c r="K64" i="1"/>
  <c r="L65" i="1"/>
  <c r="K56" i="1"/>
  <c r="L47" i="1"/>
  <c r="K50" i="1"/>
  <c r="C55" i="1"/>
  <c r="C54" i="1"/>
  <c r="L46" i="1"/>
  <c r="L62" i="1"/>
  <c r="K53" i="1"/>
  <c r="K72" i="1"/>
  <c r="K62" i="1"/>
  <c r="L58" i="1"/>
  <c r="L63" i="1"/>
  <c r="K61" i="1"/>
  <c r="K63" i="1"/>
  <c r="K57" i="1"/>
  <c r="C53" i="1"/>
  <c r="L40" i="1"/>
  <c r="L42" i="1"/>
  <c r="L61" i="1"/>
  <c r="L66" i="1"/>
  <c r="K66" i="1"/>
  <c r="K67" i="1"/>
  <c r="K49" i="1"/>
  <c r="L51" i="1"/>
  <c r="L44" i="1"/>
  <c r="K55" i="1"/>
  <c r="K45" i="1"/>
  <c r="K51" i="1"/>
  <c r="L55" i="1"/>
  <c r="L48" i="1"/>
  <c r="K68" i="1"/>
  <c r="K47" i="1"/>
  <c r="K43" i="1"/>
  <c r="L68" i="1"/>
  <c r="L64" i="1"/>
  <c r="K71" i="1"/>
  <c r="K42" i="1"/>
  <c r="L45" i="1"/>
  <c r="L57" i="1"/>
  <c r="L69" i="1"/>
  <c r="L72" i="1"/>
  <c r="L50" i="1"/>
  <c r="L59" i="1"/>
  <c r="L52" i="1"/>
  <c r="K46" i="1"/>
  <c r="K52" i="1"/>
  <c r="L53" i="1"/>
  <c r="L71" i="1"/>
  <c r="L54" i="1"/>
  <c r="K58" i="1"/>
  <c r="K44" i="1"/>
  <c r="L49" i="1"/>
  <c r="K59" i="1"/>
  <c r="K65" i="1"/>
  <c r="L70" i="1"/>
  <c r="K54" i="1"/>
  <c r="K69" i="1"/>
  <c r="L67" i="1"/>
  <c r="K40" i="1"/>
  <c r="M57" i="1" l="1"/>
  <c r="M43" i="1"/>
  <c r="M51" i="1"/>
  <c r="M49" i="1"/>
  <c r="M56" i="1"/>
  <c r="M64" i="1"/>
  <c r="M62" i="1"/>
  <c r="M60" i="1"/>
  <c r="M48" i="1"/>
  <c r="M44" i="1"/>
  <c r="M52" i="1"/>
  <c r="M50" i="1"/>
  <c r="M71" i="1"/>
  <c r="M47" i="1"/>
  <c r="M45" i="1"/>
  <c r="M67" i="1"/>
  <c r="M63" i="1"/>
  <c r="M61" i="1"/>
  <c r="M72" i="1"/>
  <c r="M59" i="1"/>
  <c r="M70" i="1"/>
  <c r="M58" i="1"/>
  <c r="M46" i="1"/>
  <c r="M42" i="1"/>
  <c r="M69" i="1"/>
  <c r="M68" i="1"/>
  <c r="M55" i="1"/>
  <c r="M66" i="1"/>
  <c r="M54" i="1"/>
  <c r="M65" i="1"/>
  <c r="M53" i="1"/>
  <c r="M41" i="1"/>
  <c r="M40" i="1"/>
  <c r="F42" i="1"/>
  <c r="F46" i="1"/>
  <c r="H45" i="1"/>
  <c r="I55" i="1"/>
  <c r="I49" i="1"/>
  <c r="I61" i="1" s="1"/>
  <c r="F41" i="1"/>
  <c r="H47" i="1"/>
  <c r="H49" i="1"/>
  <c r="I48" i="1"/>
  <c r="I62" i="1" s="1"/>
  <c r="H50" i="1"/>
  <c r="I52" i="1"/>
  <c r="I60" i="1" s="1"/>
  <c r="I47" i="1"/>
  <c r="I63" i="1" s="1"/>
  <c r="I65" i="1" s="1"/>
  <c r="D46" i="1"/>
  <c r="H43" i="1" s="1"/>
  <c r="H44" i="1" s="1"/>
  <c r="F44" i="1" s="1"/>
  <c r="H48" i="1"/>
  <c r="I50" i="1"/>
  <c r="H52" i="1"/>
  <c r="H51" i="1"/>
  <c r="F49" i="1" l="1"/>
  <c r="H61" i="1"/>
  <c r="H59" i="1"/>
  <c r="F59" i="1" s="1"/>
  <c r="F51" i="1"/>
  <c r="F52" i="1"/>
  <c r="H60" i="1"/>
  <c r="H62" i="1"/>
  <c r="F62" i="1" s="1"/>
  <c r="F48" i="1"/>
  <c r="H58" i="1"/>
  <c r="F58" i="1" s="1"/>
  <c r="F50" i="1"/>
  <c r="H67" i="1"/>
  <c r="H63" i="1"/>
  <c r="F47" i="1"/>
  <c r="H64" i="1"/>
  <c r="F45" i="1"/>
  <c r="F43" i="1"/>
  <c r="H55" i="1"/>
  <c r="F55" i="1" s="1"/>
  <c r="I53" i="1"/>
  <c r="I58" i="1"/>
  <c r="H53" i="1"/>
  <c r="F53" i="1" s="1"/>
  <c r="I57" i="1" a="1"/>
  <c r="H57" i="1" a="1"/>
  <c r="H56" i="1" a="1"/>
  <c r="H54" i="1" a="1"/>
  <c r="I54" i="1" a="1"/>
  <c r="I72" i="1" a="1"/>
  <c r="I56" i="1" a="1"/>
  <c r="I66" i="1" a="1"/>
  <c r="H72" i="1" a="1"/>
  <c r="H66" i="1" a="1"/>
  <c r="H57" i="1" l="1"/>
  <c r="I57" i="1"/>
  <c r="H72" i="1"/>
  <c r="I72" i="1"/>
  <c r="H66" i="1"/>
  <c r="I66" i="1"/>
  <c r="H65" i="1"/>
  <c r="F65" i="1" s="1"/>
  <c r="F63" i="1"/>
  <c r="F60" i="1"/>
  <c r="F61" i="1"/>
  <c r="H68" i="1"/>
  <c r="F68" i="1" s="1"/>
  <c r="F67" i="1"/>
  <c r="H71" i="1"/>
  <c r="F64" i="1"/>
  <c r="I56" i="1"/>
  <c r="H56" i="1"/>
  <c r="F56" i="1" s="1"/>
  <c r="I54" i="1"/>
  <c r="H54" i="1"/>
  <c r="I70" i="1" a="1"/>
  <c r="H69" i="1" a="1"/>
  <c r="H70" i="1" a="1"/>
  <c r="I69" i="1" a="1"/>
  <c r="F57" i="1" l="1"/>
  <c r="F54" i="1"/>
  <c r="F72" i="1"/>
  <c r="H69" i="1"/>
  <c r="I69" i="1"/>
  <c r="H70" i="1"/>
  <c r="I70" i="1"/>
  <c r="F66" i="1"/>
  <c r="F71" i="1"/>
  <c r="F69" i="1" l="1"/>
  <c r="F7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<sst xmlns="http://schemas.openxmlformats.org/spreadsheetml/2006/main" count="27" uniqueCount="27">
  <si>
    <t>O</t>
  </si>
  <si>
    <t>Point</t>
  </si>
  <si>
    <t>X</t>
  </si>
  <si>
    <t>Y</t>
  </si>
  <si>
    <t>Label</t>
  </si>
  <si>
    <t>α</t>
  </si>
  <si>
    <t>Angle</t>
  </si>
  <si>
    <t>Degree</t>
  </si>
  <si>
    <t>D</t>
  </si>
  <si>
    <t>Dimension</t>
  </si>
  <si>
    <t>Length</t>
  </si>
  <si>
    <t>h</t>
  </si>
  <si>
    <t>a</t>
  </si>
  <si>
    <t>A</t>
  </si>
  <si>
    <t>d</t>
  </si>
  <si>
    <t>s</t>
  </si>
  <si>
    <t>S</t>
  </si>
  <si>
    <t>B</t>
  </si>
  <si>
    <t>C</t>
  </si>
  <si>
    <t>8 là giao của 7/S và 5/16</t>
  </si>
  <si>
    <t>T</t>
  </si>
  <si>
    <t>Hình 1 tô màu cam, không vẽ đường viền (line), qua A, B, 12, 7, 8, 23, 24, 2, 3, 26, 6, A</t>
  </si>
  <si>
    <t>Hình 2 tô màu lục, không vẽ đường viền (line), qua 9, 10, 20, 19, 1, D, C, 15, 11, 14, 13, 9</t>
  </si>
  <si>
    <t>h=D43=1000 (px)</t>
  </si>
  <si>
    <t>R0</t>
  </si>
  <si>
    <t>R1</t>
  </si>
  <si>
    <t>R3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</si>
</sst>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16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FF"/>
      <color rgb="FF008000"/>
      <color rgb="FFFF4500"/>
      <color rgb="FF00663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66675</xdr:colOff>
      <xdr:row>22</xdr:row>
      <xdr:rowOff>180975</xdr:rowOff>
    </xdr:from>
    <xdr:to>
      <xdr:col>5</xdr:col>
      <xdr:colOff>1304925</xdr:colOff>
      <xdr:row>35</xdr:row>
      <xdr:rowOff>152400</xdr:rowOff>
    </xdr:to>
    <xdr:cxnSp macro="">
      <xdr:nvCxnSpPr>
        <xdr:cNvPr id="51" name="Straight Connector 50">
          <a:extLst>
            <a:ext uri="{FF2B5EF4-FFF2-40B4-BE49-F238E27FC236}">
              <a16:creationId xmlns:a16="http://schemas.microsoft.com/office/drawing/2014/main" id="{C1DE299B-5062-45E5-BE66-01CFC4845F88}"/>
            </a:ext>
          </a:extLst>
        </xdr:cNvPr>
        <xdr:cNvCxnSpPr/>
      </xdr:nvCxnSpPr>
      <xdr:spPr>
        <a:xfrm>
          <a:off x="1276910" y="4371975"/>
          <a:ext cx="3053603" cy="2447925"/>
        </a:xfrm>
        <a:prstGeom prst="line">
          <a:avLst/>
        </a:prstGeom>
        <a:ln w="1270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0</xdr:colOff>
      <xdr:row>17</xdr:row>
      <xdr:rowOff>0</xdr:rowOff>
    </xdr:from>
    <xdr:to>
      <xdr:col>12</xdr:col>
      <xdr:colOff>379854</xdr:colOff>
      <xdr:row>17</xdr:row>
      <xdr:rowOff>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666AFBF0-0815-4CB3-84CA-B2FD39843793}"/>
            </a:ext>
          </a:extLst>
        </xdr:cNvPr>
        <xdr:cNvCxnSpPr/>
      </xdr:nvCxnSpPr>
      <xdr:spPr>
        <a:xfrm>
          <a:off x="605118" y="3238500"/>
          <a:ext cx="13614001" cy="0"/>
        </a:xfrm>
        <a:prstGeom prst="line">
          <a:avLst/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581025</xdr:colOff>
      <xdr:row>15</xdr:row>
      <xdr:rowOff>133350</xdr:rowOff>
    </xdr:from>
    <xdr:to>
      <xdr:col>1</xdr:col>
      <xdr:colOff>582771</xdr:colOff>
      <xdr:row>17</xdr:row>
      <xdr:rowOff>16910</xdr:rowOff>
    </xdr:to>
    <xdr:sp macro="" textlink="$F$40">
      <xdr:nvSpPr>
        <xdr:cNvPr id="6" name="TextBox 5">
          <a:extLst>
            <a:ext uri="{FF2B5EF4-FFF2-40B4-BE49-F238E27FC236}">
              <a16:creationId xmlns:a16="http://schemas.microsoft.com/office/drawing/2014/main" id="{11C4A28E-26A7-4D85-810D-E200470B743C}"/>
            </a:ext>
          </a:extLst>
        </xdr:cNvPr>
        <xdr:cNvSpPr txBox="1"/>
      </xdr:nvSpPr>
      <xdr:spPr>
        <a:xfrm>
          <a:off x="581025" y="2990850"/>
          <a:ext cx="60686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43CAC4FE-1862-4BDB-B760-BD15A332DE8D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O (0, 0)</a:t>
          </a:fld>
          <a:endParaRPr lang="en-US" sz="1100"/>
        </a:p>
      </xdr:txBody>
    </xdr:sp>
    <xdr:clientData/>
  </xdr:twoCellAnchor>
  <xdr:twoCellAnchor editAs="absolute">
    <xdr:from>
      <xdr:col>12</xdr:col>
      <xdr:colOff>166991</xdr:colOff>
      <xdr:row>15</xdr:row>
      <xdr:rowOff>95250</xdr:rowOff>
    </xdr:from>
    <xdr:to>
      <xdr:col>12</xdr:col>
      <xdr:colOff>428195</xdr:colOff>
      <xdr:row>16</xdr:row>
      <xdr:rowOff>169310</xdr:rowOff>
    </xdr:to>
    <xdr:sp macro="" textlink="$H$39">
      <xdr:nvSpPr>
        <xdr:cNvPr id="7" name="TextBox 6">
          <a:extLst>
            <a:ext uri="{FF2B5EF4-FFF2-40B4-BE49-F238E27FC236}">
              <a16:creationId xmlns:a16="http://schemas.microsoft.com/office/drawing/2014/main" id="{7459F31F-3D8B-4947-9E6D-E1550714D925}"/>
            </a:ext>
          </a:extLst>
        </xdr:cNvPr>
        <xdr:cNvSpPr txBox="1"/>
      </xdr:nvSpPr>
      <xdr:spPr>
        <a:xfrm>
          <a:off x="14006256" y="2952750"/>
          <a:ext cx="26120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70A6107F-FA97-43A6-89DF-E92260944A87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X</a:t>
          </a:fld>
          <a:endParaRPr lang="en-US" sz="1100"/>
        </a:p>
      </xdr:txBody>
    </xdr:sp>
    <xdr:clientData/>
  </xdr:twoCellAnchor>
  <xdr:twoCellAnchor editAs="absolute">
    <xdr:from>
      <xdr:col>1</xdr:col>
      <xdr:colOff>0</xdr:colOff>
      <xdr:row>17</xdr:row>
      <xdr:rowOff>0</xdr:rowOff>
    </xdr:from>
    <xdr:to>
      <xdr:col>1</xdr:col>
      <xdr:colOff>0</xdr:colOff>
      <xdr:row>42</xdr:row>
      <xdr:rowOff>9525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5ACA8DE1-28FC-4CE6-8054-628AD3D998E3}"/>
            </a:ext>
          </a:extLst>
        </xdr:cNvPr>
        <xdr:cNvCxnSpPr/>
      </xdr:nvCxnSpPr>
      <xdr:spPr>
        <a:xfrm>
          <a:off x="605118" y="3238500"/>
          <a:ext cx="0" cy="4772025"/>
        </a:xfrm>
        <a:prstGeom prst="line">
          <a:avLst/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361950</xdr:colOff>
      <xdr:row>38</xdr:row>
      <xdr:rowOff>0</xdr:rowOff>
    </xdr:from>
    <xdr:to>
      <xdr:col>1</xdr:col>
      <xdr:colOff>16037</xdr:colOff>
      <xdr:row>39</xdr:row>
      <xdr:rowOff>74060</xdr:rowOff>
    </xdr:to>
    <xdr:sp macro="" textlink="$I$39">
      <xdr:nvSpPr>
        <xdr:cNvPr id="13" name="TextBox 12">
          <a:extLst>
            <a:ext uri="{FF2B5EF4-FFF2-40B4-BE49-F238E27FC236}">
              <a16:creationId xmlns:a16="http://schemas.microsoft.com/office/drawing/2014/main" id="{DE3E897A-6CAC-4E8D-80BD-E91312DA3E3E}"/>
            </a:ext>
          </a:extLst>
        </xdr:cNvPr>
        <xdr:cNvSpPr txBox="1"/>
      </xdr:nvSpPr>
      <xdr:spPr>
        <a:xfrm>
          <a:off x="361950" y="7239000"/>
          <a:ext cx="25920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0722D1B7-F400-458C-8368-F7B75C9B73C9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Y</a:t>
          </a:fld>
          <a:endParaRPr lang="en-US" sz="1100"/>
        </a:p>
      </xdr:txBody>
    </xdr:sp>
    <xdr:clientData/>
  </xdr:twoCellAnchor>
  <xdr:twoCellAnchor editAs="absolute">
    <xdr:from>
      <xdr:col>1</xdr:col>
      <xdr:colOff>0</xdr:colOff>
      <xdr:row>17</xdr:row>
      <xdr:rowOff>0</xdr:rowOff>
    </xdr:from>
    <xdr:to>
      <xdr:col>1</xdr:col>
      <xdr:colOff>0</xdr:colOff>
      <xdr:row>35</xdr:row>
      <xdr:rowOff>171000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EB8FC0FF-18BA-40C2-83BE-4817A9D61F6F}"/>
            </a:ext>
          </a:extLst>
        </xdr:cNvPr>
        <xdr:cNvCxnSpPr/>
      </xdr:nvCxnSpPr>
      <xdr:spPr>
        <a:xfrm>
          <a:off x="605118" y="3238500"/>
          <a:ext cx="0" cy="3600000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47625</xdr:colOff>
      <xdr:row>36</xdr:row>
      <xdr:rowOff>38100</xdr:rowOff>
    </xdr:from>
    <xdr:to>
      <xdr:col>2</xdr:col>
      <xdr:colOff>114262</xdr:colOff>
      <xdr:row>37</xdr:row>
      <xdr:rowOff>19827</xdr:rowOff>
    </xdr:to>
    <xdr:sp macro="" textlink="$F$41">
      <xdr:nvSpPr>
        <xdr:cNvPr id="18" name="TextBox 17">
          <a:extLst>
            <a:ext uri="{FF2B5EF4-FFF2-40B4-BE49-F238E27FC236}">
              <a16:creationId xmlns:a16="http://schemas.microsoft.com/office/drawing/2014/main" id="{77F48ADA-4B6B-4893-BAB4-8CB4C306AC3B}"/>
            </a:ext>
          </a:extLst>
        </xdr:cNvPr>
        <xdr:cNvSpPr txBox="1"/>
      </xdr:nvSpPr>
      <xdr:spPr>
        <a:xfrm>
          <a:off x="652743" y="6896100"/>
          <a:ext cx="671754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B266A5FB-CA82-484B-84E6-EDFF0FBFD3A8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D (0, 1000)</a:t>
          </a:fld>
          <a:endParaRPr lang="en-US" sz="1100"/>
        </a:p>
      </xdr:txBody>
    </xdr:sp>
    <xdr:clientData/>
  </xdr:twoCellAnchor>
  <xdr:twoCellAnchor editAs="absolute">
    <xdr:from>
      <xdr:col>1</xdr:col>
      <xdr:colOff>0</xdr:colOff>
      <xdr:row>35</xdr:row>
      <xdr:rowOff>161925</xdr:rowOff>
    </xdr:from>
    <xdr:to>
      <xdr:col>12</xdr:col>
      <xdr:colOff>328916</xdr:colOff>
      <xdr:row>35</xdr:row>
      <xdr:rowOff>161925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1D891980-4BED-499D-AF17-B2DEE1CB93C5}"/>
            </a:ext>
          </a:extLst>
        </xdr:cNvPr>
        <xdr:cNvCxnSpPr/>
      </xdr:nvCxnSpPr>
      <xdr:spPr>
        <a:xfrm>
          <a:off x="605118" y="6829425"/>
          <a:ext cx="13563063" cy="0"/>
        </a:xfrm>
        <a:prstGeom prst="line">
          <a:avLst/>
        </a:prstGeom>
        <a:ln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457200</xdr:colOff>
      <xdr:row>26</xdr:row>
      <xdr:rowOff>9525</xdr:rowOff>
    </xdr:from>
    <xdr:to>
      <xdr:col>1</xdr:col>
      <xdr:colOff>53421</xdr:colOff>
      <xdr:row>26</xdr:row>
      <xdr:rowOff>181752</xdr:rowOff>
    </xdr:to>
    <xdr:sp macro="" textlink="$C$43">
      <xdr:nvSpPr>
        <xdr:cNvPr id="20" name="TextBox 19">
          <a:extLst>
            <a:ext uri="{FF2B5EF4-FFF2-40B4-BE49-F238E27FC236}">
              <a16:creationId xmlns:a16="http://schemas.microsoft.com/office/drawing/2014/main" id="{9386F608-6D85-4F51-9583-D3C8AF73D515}"/>
            </a:ext>
          </a:extLst>
        </xdr:cNvPr>
        <xdr:cNvSpPr txBox="1"/>
      </xdr:nvSpPr>
      <xdr:spPr>
        <a:xfrm>
          <a:off x="457200" y="4962525"/>
          <a:ext cx="201339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3F4138BC-2E44-45DE-8FA2-C65CF8C6A41F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h</a:t>
          </a:fld>
          <a:endParaRPr lang="en-US" sz="1100"/>
        </a:p>
      </xdr:txBody>
    </xdr:sp>
    <xdr:clientData/>
  </xdr:twoCellAnchor>
  <xdr:twoCellAnchor editAs="absolute">
    <xdr:from>
      <xdr:col>1</xdr:col>
      <xdr:colOff>0</xdr:colOff>
      <xdr:row>17</xdr:row>
      <xdr:rowOff>0</xdr:rowOff>
    </xdr:from>
    <xdr:to>
      <xdr:col>2</xdr:col>
      <xdr:colOff>355200</xdr:colOff>
      <xdr:row>17</xdr:row>
      <xdr:rowOff>0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4972F92F-A97E-49B7-8D19-507E8B717DB7}"/>
            </a:ext>
          </a:extLst>
        </xdr:cNvPr>
        <xdr:cNvCxnSpPr/>
      </xdr:nvCxnSpPr>
      <xdr:spPr>
        <a:xfrm>
          <a:off x="605118" y="3238500"/>
          <a:ext cx="960317" cy="0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244751</xdr:colOff>
      <xdr:row>15</xdr:row>
      <xdr:rowOff>166894</xdr:rowOff>
    </xdr:from>
    <xdr:to>
      <xdr:col>4</xdr:col>
      <xdr:colOff>482731</xdr:colOff>
      <xdr:row>16</xdr:row>
      <xdr:rowOff>148621</xdr:rowOff>
    </xdr:to>
    <xdr:sp macro="" textlink="$F$42">
      <xdr:nvSpPr>
        <xdr:cNvPr id="28" name="TextBox 27">
          <a:extLst>
            <a:ext uri="{FF2B5EF4-FFF2-40B4-BE49-F238E27FC236}">
              <a16:creationId xmlns:a16="http://schemas.microsoft.com/office/drawing/2014/main" id="{45E53552-413F-4E2A-AD59-BD22D7A3DDA0}"/>
            </a:ext>
          </a:extLst>
        </xdr:cNvPr>
        <xdr:cNvSpPr txBox="1"/>
      </xdr:nvSpPr>
      <xdr:spPr>
        <a:xfrm>
          <a:off x="1454986" y="3024394"/>
          <a:ext cx="1448216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329A3B36-22A9-45AD-8A27-2D256AB35C6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A (267.949192431123, 0)</a:t>
          </a:fld>
          <a:endParaRPr lang="en-US" sz="1100"/>
        </a:p>
      </xdr:txBody>
    </xdr:sp>
    <xdr:clientData/>
  </xdr:twoCellAnchor>
  <xdr:twoCellAnchor editAs="absolute">
    <xdr:from>
      <xdr:col>1</xdr:col>
      <xdr:colOff>500927</xdr:colOff>
      <xdr:row>16</xdr:row>
      <xdr:rowOff>127020</xdr:rowOff>
    </xdr:from>
    <xdr:to>
      <xdr:col>1</xdr:col>
      <xdr:colOff>500927</xdr:colOff>
      <xdr:row>36</xdr:row>
      <xdr:rowOff>43020</xdr:rowOff>
    </xdr:to>
    <xdr:cxnSp macro="">
      <xdr:nvCxnSpPr>
        <xdr:cNvPr id="31" name="Straight Connector 30">
          <a:extLst>
            <a:ext uri="{FF2B5EF4-FFF2-40B4-BE49-F238E27FC236}">
              <a16:creationId xmlns:a16="http://schemas.microsoft.com/office/drawing/2014/main" id="{0D8A4CB5-824C-4D6C-B7C8-1743D4D62C6C}"/>
            </a:ext>
          </a:extLst>
        </xdr:cNvPr>
        <xdr:cNvCxnSpPr/>
      </xdr:nvCxnSpPr>
      <xdr:spPr>
        <a:xfrm rot="6300000">
          <a:off x="-756955" y="5038020"/>
          <a:ext cx="3726000" cy="0"/>
        </a:xfrm>
        <a:prstGeom prst="line">
          <a:avLst/>
        </a:prstGeom>
        <a:ln w="1270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184946</xdr:colOff>
      <xdr:row>16</xdr:row>
      <xdr:rowOff>127020</xdr:rowOff>
    </xdr:from>
    <xdr:to>
      <xdr:col>6</xdr:col>
      <xdr:colOff>184946</xdr:colOff>
      <xdr:row>36</xdr:row>
      <xdr:rowOff>43020</xdr:rowOff>
    </xdr:to>
    <xdr:cxnSp macro="">
      <xdr:nvCxnSpPr>
        <xdr:cNvPr id="32" name="Straight Connector 31">
          <a:extLst>
            <a:ext uri="{FF2B5EF4-FFF2-40B4-BE49-F238E27FC236}">
              <a16:creationId xmlns:a16="http://schemas.microsoft.com/office/drawing/2014/main" id="{C75C826E-8C05-4442-92C6-3570267CCF31}"/>
            </a:ext>
          </a:extLst>
        </xdr:cNvPr>
        <xdr:cNvCxnSpPr/>
      </xdr:nvCxnSpPr>
      <xdr:spPr>
        <a:xfrm rot="6300000">
          <a:off x="2938770" y="5038020"/>
          <a:ext cx="3726000" cy="0"/>
        </a:xfrm>
        <a:prstGeom prst="line">
          <a:avLst/>
        </a:prstGeom>
        <a:ln w="1270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257175</xdr:colOff>
      <xdr:row>19</xdr:row>
      <xdr:rowOff>22200</xdr:rowOff>
    </xdr:from>
    <xdr:to>
      <xdr:col>6</xdr:col>
      <xdr:colOff>565357</xdr:colOff>
      <xdr:row>19</xdr:row>
      <xdr:rowOff>22200</xdr:rowOff>
    </xdr:to>
    <xdr:cxnSp macro="">
      <xdr:nvCxnSpPr>
        <xdr:cNvPr id="33" name="Straight Connector 32">
          <a:extLst>
            <a:ext uri="{FF2B5EF4-FFF2-40B4-BE49-F238E27FC236}">
              <a16:creationId xmlns:a16="http://schemas.microsoft.com/office/drawing/2014/main" id="{DB0E1844-2DB3-44D9-9F9C-26763B7A2812}"/>
            </a:ext>
          </a:extLst>
        </xdr:cNvPr>
        <xdr:cNvCxnSpPr/>
      </xdr:nvCxnSpPr>
      <xdr:spPr>
        <a:xfrm>
          <a:off x="1467410" y="3641700"/>
          <a:ext cx="3714771" cy="0"/>
        </a:xfrm>
        <a:prstGeom prst="line">
          <a:avLst/>
        </a:prstGeom>
        <a:ln w="12700">
          <a:solidFill>
            <a:srgbClr val="008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0</xdr:colOff>
      <xdr:row>17</xdr:row>
      <xdr:rowOff>0</xdr:rowOff>
    </xdr:from>
    <xdr:to>
      <xdr:col>1</xdr:col>
      <xdr:colOff>0</xdr:colOff>
      <xdr:row>19</xdr:row>
      <xdr:rowOff>22200</xdr:rowOff>
    </xdr:to>
    <xdr:cxnSp macro="">
      <xdr:nvCxnSpPr>
        <xdr:cNvPr id="35" name="Straight Connector 34">
          <a:extLst>
            <a:ext uri="{FF2B5EF4-FFF2-40B4-BE49-F238E27FC236}">
              <a16:creationId xmlns:a16="http://schemas.microsoft.com/office/drawing/2014/main" id="{CDBEB19A-8488-478F-B025-E028F149D3DE}"/>
            </a:ext>
          </a:extLst>
        </xdr:cNvPr>
        <xdr:cNvCxnSpPr/>
      </xdr:nvCxnSpPr>
      <xdr:spPr>
        <a:xfrm>
          <a:off x="605118" y="3238500"/>
          <a:ext cx="0" cy="403200"/>
        </a:xfrm>
        <a:prstGeom prst="line">
          <a:avLst/>
        </a:prstGeom>
        <a:ln w="38100">
          <a:solidFill>
            <a:srgbClr val="FF4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171450</xdr:colOff>
      <xdr:row>20</xdr:row>
      <xdr:rowOff>165075</xdr:rowOff>
    </xdr:from>
    <xdr:to>
      <xdr:col>6</xdr:col>
      <xdr:colOff>476319</xdr:colOff>
      <xdr:row>20</xdr:row>
      <xdr:rowOff>165075</xdr:rowOff>
    </xdr:to>
    <xdr:cxnSp macro="">
      <xdr:nvCxnSpPr>
        <xdr:cNvPr id="36" name="Straight Connector 35">
          <a:extLst>
            <a:ext uri="{FF2B5EF4-FFF2-40B4-BE49-F238E27FC236}">
              <a16:creationId xmlns:a16="http://schemas.microsoft.com/office/drawing/2014/main" id="{0DC455DF-DE5A-47E7-988D-03ADBDB933ED}"/>
            </a:ext>
          </a:extLst>
        </xdr:cNvPr>
        <xdr:cNvCxnSpPr/>
      </xdr:nvCxnSpPr>
      <xdr:spPr>
        <a:xfrm>
          <a:off x="1381685" y="3975075"/>
          <a:ext cx="3711458" cy="0"/>
        </a:xfrm>
        <a:prstGeom prst="line">
          <a:avLst/>
        </a:prstGeom>
        <a:ln w="12700">
          <a:solidFill>
            <a:srgbClr val="008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76200</xdr:colOff>
      <xdr:row>22</xdr:row>
      <xdr:rowOff>174600</xdr:rowOff>
    </xdr:from>
    <xdr:to>
      <xdr:col>6</xdr:col>
      <xdr:colOff>381069</xdr:colOff>
      <xdr:row>22</xdr:row>
      <xdr:rowOff>174600</xdr:rowOff>
    </xdr:to>
    <xdr:cxnSp macro="">
      <xdr:nvCxnSpPr>
        <xdr:cNvPr id="37" name="Straight Connector 36">
          <a:extLst>
            <a:ext uri="{FF2B5EF4-FFF2-40B4-BE49-F238E27FC236}">
              <a16:creationId xmlns:a16="http://schemas.microsoft.com/office/drawing/2014/main" id="{2870A296-8CDF-4178-BFAB-37A8488E966D}"/>
            </a:ext>
          </a:extLst>
        </xdr:cNvPr>
        <xdr:cNvCxnSpPr/>
      </xdr:nvCxnSpPr>
      <xdr:spPr>
        <a:xfrm>
          <a:off x="1286435" y="4365600"/>
          <a:ext cx="3711458" cy="0"/>
        </a:xfrm>
        <a:prstGeom prst="line">
          <a:avLst/>
        </a:prstGeom>
        <a:ln w="12700">
          <a:solidFill>
            <a:srgbClr val="008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133350</xdr:colOff>
      <xdr:row>33</xdr:row>
      <xdr:rowOff>174600</xdr:rowOff>
    </xdr:from>
    <xdr:to>
      <xdr:col>5</xdr:col>
      <xdr:colOff>1420950</xdr:colOff>
      <xdr:row>33</xdr:row>
      <xdr:rowOff>174600</xdr:rowOff>
    </xdr:to>
    <xdr:cxnSp macro="">
      <xdr:nvCxnSpPr>
        <xdr:cNvPr id="38" name="Straight Connector 37">
          <a:extLst>
            <a:ext uri="{FF2B5EF4-FFF2-40B4-BE49-F238E27FC236}">
              <a16:creationId xmlns:a16="http://schemas.microsoft.com/office/drawing/2014/main" id="{AEA33DDF-3E36-4745-8574-927BD7EB4AEA}"/>
            </a:ext>
          </a:extLst>
        </xdr:cNvPr>
        <xdr:cNvCxnSpPr/>
      </xdr:nvCxnSpPr>
      <xdr:spPr>
        <a:xfrm>
          <a:off x="738468" y="6461100"/>
          <a:ext cx="3708070" cy="0"/>
        </a:xfrm>
        <a:prstGeom prst="line">
          <a:avLst/>
        </a:prstGeom>
        <a:ln w="1270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0</xdr:colOff>
      <xdr:row>33</xdr:row>
      <xdr:rowOff>139725</xdr:rowOff>
    </xdr:from>
    <xdr:to>
      <xdr:col>1</xdr:col>
      <xdr:colOff>0</xdr:colOff>
      <xdr:row>35</xdr:row>
      <xdr:rowOff>161925</xdr:rowOff>
    </xdr:to>
    <xdr:cxnSp macro="">
      <xdr:nvCxnSpPr>
        <xdr:cNvPr id="40" name="Straight Connector 39">
          <a:extLst>
            <a:ext uri="{FF2B5EF4-FFF2-40B4-BE49-F238E27FC236}">
              <a16:creationId xmlns:a16="http://schemas.microsoft.com/office/drawing/2014/main" id="{B3CE9547-77A5-4A88-A8C9-1E9E4A7C67F2}"/>
            </a:ext>
          </a:extLst>
        </xdr:cNvPr>
        <xdr:cNvCxnSpPr/>
      </xdr:nvCxnSpPr>
      <xdr:spPr>
        <a:xfrm>
          <a:off x="605118" y="6426225"/>
          <a:ext cx="0" cy="403200"/>
        </a:xfrm>
        <a:prstGeom prst="line">
          <a:avLst/>
        </a:prstGeom>
        <a:ln w="38100">
          <a:solidFill>
            <a:srgbClr val="FF4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238125</xdr:colOff>
      <xdr:row>31</xdr:row>
      <xdr:rowOff>155550</xdr:rowOff>
    </xdr:from>
    <xdr:to>
      <xdr:col>5</xdr:col>
      <xdr:colOff>1523655</xdr:colOff>
      <xdr:row>31</xdr:row>
      <xdr:rowOff>155550</xdr:rowOff>
    </xdr:to>
    <xdr:cxnSp macro="">
      <xdr:nvCxnSpPr>
        <xdr:cNvPr id="41" name="Straight Connector 40">
          <a:extLst>
            <a:ext uri="{FF2B5EF4-FFF2-40B4-BE49-F238E27FC236}">
              <a16:creationId xmlns:a16="http://schemas.microsoft.com/office/drawing/2014/main" id="{CBB3F77C-2201-4B91-93EE-4F7AE73187C0}"/>
            </a:ext>
          </a:extLst>
        </xdr:cNvPr>
        <xdr:cNvCxnSpPr/>
      </xdr:nvCxnSpPr>
      <xdr:spPr>
        <a:xfrm>
          <a:off x="843243" y="6061050"/>
          <a:ext cx="3706000" cy="0"/>
        </a:xfrm>
        <a:prstGeom prst="line">
          <a:avLst/>
        </a:prstGeom>
        <a:ln w="1270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314325</xdr:colOff>
      <xdr:row>29</xdr:row>
      <xdr:rowOff>155550</xdr:rowOff>
    </xdr:from>
    <xdr:to>
      <xdr:col>6</xdr:col>
      <xdr:colOff>9594</xdr:colOff>
      <xdr:row>29</xdr:row>
      <xdr:rowOff>155550</xdr:rowOff>
    </xdr:to>
    <xdr:cxnSp macro="">
      <xdr:nvCxnSpPr>
        <xdr:cNvPr id="42" name="Straight Connector 41">
          <a:extLst>
            <a:ext uri="{FF2B5EF4-FFF2-40B4-BE49-F238E27FC236}">
              <a16:creationId xmlns:a16="http://schemas.microsoft.com/office/drawing/2014/main" id="{C3481DD3-31A5-462B-BDB0-22EFE7109938}"/>
            </a:ext>
          </a:extLst>
        </xdr:cNvPr>
        <xdr:cNvCxnSpPr/>
      </xdr:nvCxnSpPr>
      <xdr:spPr>
        <a:xfrm>
          <a:off x="919443" y="5680050"/>
          <a:ext cx="3706975" cy="0"/>
        </a:xfrm>
        <a:prstGeom prst="line">
          <a:avLst/>
        </a:prstGeom>
        <a:ln w="1270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447675</xdr:colOff>
      <xdr:row>17</xdr:row>
      <xdr:rowOff>104775</xdr:rowOff>
    </xdr:from>
    <xdr:to>
      <xdr:col>1</xdr:col>
      <xdr:colOff>43896</xdr:colOff>
      <xdr:row>18</xdr:row>
      <xdr:rowOff>86502</xdr:rowOff>
    </xdr:to>
    <xdr:sp macro="" textlink="$C$45">
      <xdr:nvSpPr>
        <xdr:cNvPr id="43" name="TextBox 42">
          <a:extLst>
            <a:ext uri="{FF2B5EF4-FFF2-40B4-BE49-F238E27FC236}">
              <a16:creationId xmlns:a16="http://schemas.microsoft.com/office/drawing/2014/main" id="{2A3A21A0-E304-40E2-ADA6-0B089735D067}"/>
            </a:ext>
          </a:extLst>
        </xdr:cNvPr>
        <xdr:cNvSpPr txBox="1"/>
      </xdr:nvSpPr>
      <xdr:spPr>
        <a:xfrm>
          <a:off x="447675" y="3343275"/>
          <a:ext cx="201339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89DAE0C3-FCC9-473B-8F08-061C303B24E7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d</a:t>
          </a:fld>
          <a:endParaRPr lang="en-US" sz="1100"/>
        </a:p>
      </xdr:txBody>
    </xdr:sp>
    <xdr:clientData/>
  </xdr:twoCellAnchor>
  <xdr:twoCellAnchor editAs="absolute">
    <xdr:from>
      <xdr:col>2</xdr:col>
      <xdr:colOff>371475</xdr:colOff>
      <xdr:row>17</xdr:row>
      <xdr:rowOff>9525</xdr:rowOff>
    </xdr:from>
    <xdr:to>
      <xdr:col>6</xdr:col>
      <xdr:colOff>17394</xdr:colOff>
      <xdr:row>29</xdr:row>
      <xdr:rowOff>171450</xdr:rowOff>
    </xdr:to>
    <xdr:cxnSp macro="">
      <xdr:nvCxnSpPr>
        <xdr:cNvPr id="46" name="Straight Connector 45">
          <a:extLst>
            <a:ext uri="{FF2B5EF4-FFF2-40B4-BE49-F238E27FC236}">
              <a16:creationId xmlns:a16="http://schemas.microsoft.com/office/drawing/2014/main" id="{14885BD8-7A3F-4EF5-8A63-BCE252705FF0}"/>
            </a:ext>
          </a:extLst>
        </xdr:cNvPr>
        <xdr:cNvCxnSpPr/>
      </xdr:nvCxnSpPr>
      <xdr:spPr>
        <a:xfrm>
          <a:off x="1581710" y="3248025"/>
          <a:ext cx="3052508" cy="2447925"/>
        </a:xfrm>
        <a:prstGeom prst="line">
          <a:avLst/>
        </a:prstGeom>
        <a:ln w="1270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257175</xdr:colOff>
      <xdr:row>19</xdr:row>
      <xdr:rowOff>9525</xdr:rowOff>
    </xdr:from>
    <xdr:to>
      <xdr:col>5</xdr:col>
      <xdr:colOff>1493355</xdr:colOff>
      <xdr:row>31</xdr:row>
      <xdr:rowOff>171450</xdr:rowOff>
    </xdr:to>
    <xdr:cxnSp macro="">
      <xdr:nvCxnSpPr>
        <xdr:cNvPr id="49" name="Straight Connector 48">
          <a:extLst>
            <a:ext uri="{FF2B5EF4-FFF2-40B4-BE49-F238E27FC236}">
              <a16:creationId xmlns:a16="http://schemas.microsoft.com/office/drawing/2014/main" id="{D697FA44-4F8B-48F0-820A-7A8DC6ABDDFC}"/>
            </a:ext>
          </a:extLst>
        </xdr:cNvPr>
        <xdr:cNvCxnSpPr/>
      </xdr:nvCxnSpPr>
      <xdr:spPr>
        <a:xfrm>
          <a:off x="1467410" y="3629025"/>
          <a:ext cx="3051533" cy="2447925"/>
        </a:xfrm>
        <a:prstGeom prst="line">
          <a:avLst/>
        </a:prstGeom>
        <a:ln w="1270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152400</xdr:colOff>
      <xdr:row>20</xdr:row>
      <xdr:rowOff>171450</xdr:rowOff>
    </xdr:from>
    <xdr:to>
      <xdr:col>5</xdr:col>
      <xdr:colOff>1390650</xdr:colOff>
      <xdr:row>33</xdr:row>
      <xdr:rowOff>142875</xdr:rowOff>
    </xdr:to>
    <xdr:cxnSp macro="">
      <xdr:nvCxnSpPr>
        <xdr:cNvPr id="50" name="Straight Connector 49">
          <a:extLst>
            <a:ext uri="{FF2B5EF4-FFF2-40B4-BE49-F238E27FC236}">
              <a16:creationId xmlns:a16="http://schemas.microsoft.com/office/drawing/2014/main" id="{5347CAFE-F97A-4B83-B989-065B463DB031}"/>
            </a:ext>
          </a:extLst>
        </xdr:cNvPr>
        <xdr:cNvCxnSpPr/>
      </xdr:nvCxnSpPr>
      <xdr:spPr>
        <a:xfrm>
          <a:off x="1362635" y="3981450"/>
          <a:ext cx="3053603" cy="2447925"/>
        </a:xfrm>
        <a:prstGeom prst="line">
          <a:avLst/>
        </a:prstGeom>
        <a:ln w="1270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310427</xdr:colOff>
      <xdr:row>16</xdr:row>
      <xdr:rowOff>136545</xdr:rowOff>
    </xdr:from>
    <xdr:to>
      <xdr:col>2</xdr:col>
      <xdr:colOff>310427</xdr:colOff>
      <xdr:row>36</xdr:row>
      <xdr:rowOff>52545</xdr:rowOff>
    </xdr:to>
    <xdr:cxnSp macro="">
      <xdr:nvCxnSpPr>
        <xdr:cNvPr id="67" name="Straight Connector 66">
          <a:extLst>
            <a:ext uri="{FF2B5EF4-FFF2-40B4-BE49-F238E27FC236}">
              <a16:creationId xmlns:a16="http://schemas.microsoft.com/office/drawing/2014/main" id="{8AD16160-E31E-4878-BC0D-139692A05350}"/>
            </a:ext>
          </a:extLst>
        </xdr:cNvPr>
        <xdr:cNvCxnSpPr/>
      </xdr:nvCxnSpPr>
      <xdr:spPr>
        <a:xfrm rot="6300000">
          <a:off x="-342338" y="5047545"/>
          <a:ext cx="3726000" cy="0"/>
        </a:xfrm>
        <a:prstGeom prst="line">
          <a:avLst/>
        </a:prstGeom>
        <a:ln w="1270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202096</xdr:colOff>
      <xdr:row>17</xdr:row>
      <xdr:rowOff>14080</xdr:rowOff>
    </xdr:from>
    <xdr:to>
      <xdr:col>5</xdr:col>
      <xdr:colOff>575639</xdr:colOff>
      <xdr:row>17</xdr:row>
      <xdr:rowOff>186307</xdr:rowOff>
    </xdr:to>
    <xdr:sp macro="" textlink="$F$43">
      <xdr:nvSpPr>
        <xdr:cNvPr id="68" name="TextBox 67">
          <a:extLst>
            <a:ext uri="{FF2B5EF4-FFF2-40B4-BE49-F238E27FC236}">
              <a16:creationId xmlns:a16="http://schemas.microsoft.com/office/drawing/2014/main" id="{EC8CF7B3-0377-4163-89F9-44C32416DAED}"/>
            </a:ext>
          </a:extLst>
        </xdr:cNvPr>
        <xdr:cNvSpPr txBox="1"/>
      </xdr:nvSpPr>
      <xdr:spPr>
        <a:xfrm>
          <a:off x="2017449" y="3252580"/>
          <a:ext cx="158377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5AFFBA86-EDB3-450D-A6AE-AE101BBD91C8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S (384.301414417898, 0)</a:t>
          </a:fld>
          <a:endParaRPr lang="en-US" sz="1100"/>
        </a:p>
      </xdr:txBody>
    </xdr:sp>
    <xdr:clientData/>
  </xdr:twoCellAnchor>
  <xdr:twoCellAnchor editAs="absolute">
    <xdr:from>
      <xdr:col>1</xdr:col>
      <xdr:colOff>495300</xdr:colOff>
      <xdr:row>26</xdr:row>
      <xdr:rowOff>66675</xdr:rowOff>
    </xdr:from>
    <xdr:to>
      <xdr:col>2</xdr:col>
      <xdr:colOff>303300</xdr:colOff>
      <xdr:row>26</xdr:row>
      <xdr:rowOff>66675</xdr:rowOff>
    </xdr:to>
    <xdr:cxnSp macro="">
      <xdr:nvCxnSpPr>
        <xdr:cNvPr id="69" name="Straight Connector 68">
          <a:extLst>
            <a:ext uri="{FF2B5EF4-FFF2-40B4-BE49-F238E27FC236}">
              <a16:creationId xmlns:a16="http://schemas.microsoft.com/office/drawing/2014/main" id="{135B19A4-F0D2-44E5-9385-A102BD2EE6A7}"/>
            </a:ext>
          </a:extLst>
        </xdr:cNvPr>
        <xdr:cNvCxnSpPr/>
      </xdr:nvCxnSpPr>
      <xdr:spPr>
        <a:xfrm>
          <a:off x="1100418" y="5019675"/>
          <a:ext cx="413117" cy="0"/>
        </a:xfrm>
        <a:prstGeom prst="line">
          <a:avLst/>
        </a:prstGeom>
        <a:ln w="28575">
          <a:solidFill>
            <a:srgbClr val="008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57150</xdr:colOff>
      <xdr:row>25</xdr:row>
      <xdr:rowOff>76200</xdr:rowOff>
    </xdr:from>
    <xdr:to>
      <xdr:col>2</xdr:col>
      <xdr:colOff>257175</xdr:colOff>
      <xdr:row>26</xdr:row>
      <xdr:rowOff>57927</xdr:rowOff>
    </xdr:to>
    <xdr:sp macro="" textlink="$C$46">
      <xdr:nvSpPr>
        <xdr:cNvPr id="70" name="TextBox 69">
          <a:extLst>
            <a:ext uri="{FF2B5EF4-FFF2-40B4-BE49-F238E27FC236}">
              <a16:creationId xmlns:a16="http://schemas.microsoft.com/office/drawing/2014/main" id="{1C211EA8-DA29-48AB-94F0-842AA1F2A6BE}"/>
            </a:ext>
          </a:extLst>
        </xdr:cNvPr>
        <xdr:cNvSpPr txBox="1"/>
      </xdr:nvSpPr>
      <xdr:spPr>
        <a:xfrm>
          <a:off x="1267385" y="4838700"/>
          <a:ext cx="20002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57D5609C-7D79-4BF7-BC82-88BD73CBC937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s</a:t>
          </a:fld>
          <a:endParaRPr lang="en-US" sz="1100"/>
        </a:p>
      </xdr:txBody>
    </xdr:sp>
    <xdr:clientData/>
  </xdr:twoCellAnchor>
  <xdr:twoCellAnchor editAs="absolute">
    <xdr:from>
      <xdr:col>3</xdr:col>
      <xdr:colOff>91353</xdr:colOff>
      <xdr:row>16</xdr:row>
      <xdr:rowOff>146070</xdr:rowOff>
    </xdr:from>
    <xdr:to>
      <xdr:col>3</xdr:col>
      <xdr:colOff>91353</xdr:colOff>
      <xdr:row>36</xdr:row>
      <xdr:rowOff>62070</xdr:rowOff>
    </xdr:to>
    <xdr:cxnSp macro="">
      <xdr:nvCxnSpPr>
        <xdr:cNvPr id="72" name="Straight Connector 71">
          <a:extLst>
            <a:ext uri="{FF2B5EF4-FFF2-40B4-BE49-F238E27FC236}">
              <a16:creationId xmlns:a16="http://schemas.microsoft.com/office/drawing/2014/main" id="{44EE3A60-DE1F-4EB9-984C-18812A103332}"/>
            </a:ext>
          </a:extLst>
        </xdr:cNvPr>
        <xdr:cNvCxnSpPr/>
      </xdr:nvCxnSpPr>
      <xdr:spPr>
        <a:xfrm rot="6300000">
          <a:off x="43706" y="5057070"/>
          <a:ext cx="3726000" cy="0"/>
        </a:xfrm>
        <a:prstGeom prst="line">
          <a:avLst/>
        </a:prstGeom>
        <a:ln w="1270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1400006</xdr:colOff>
      <xdr:row>16</xdr:row>
      <xdr:rowOff>129505</xdr:rowOff>
    </xdr:from>
    <xdr:to>
      <xdr:col>5</xdr:col>
      <xdr:colOff>1400006</xdr:colOff>
      <xdr:row>36</xdr:row>
      <xdr:rowOff>45505</xdr:rowOff>
    </xdr:to>
    <xdr:cxnSp macro="">
      <xdr:nvCxnSpPr>
        <xdr:cNvPr id="89" name="Straight Connector 88">
          <a:extLst>
            <a:ext uri="{FF2B5EF4-FFF2-40B4-BE49-F238E27FC236}">
              <a16:creationId xmlns:a16="http://schemas.microsoft.com/office/drawing/2014/main" id="{5D14D14F-798E-4040-9233-638F5E327D8A}"/>
            </a:ext>
          </a:extLst>
        </xdr:cNvPr>
        <xdr:cNvCxnSpPr/>
      </xdr:nvCxnSpPr>
      <xdr:spPr>
        <a:xfrm rot="6300000">
          <a:off x="2562594" y="5040505"/>
          <a:ext cx="3726000" cy="0"/>
        </a:xfrm>
        <a:prstGeom prst="line">
          <a:avLst/>
        </a:prstGeom>
        <a:ln w="1270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994158</xdr:colOff>
      <xdr:row>16</xdr:row>
      <xdr:rowOff>137788</xdr:rowOff>
    </xdr:from>
    <xdr:to>
      <xdr:col>5</xdr:col>
      <xdr:colOff>994158</xdr:colOff>
      <xdr:row>36</xdr:row>
      <xdr:rowOff>53788</xdr:rowOff>
    </xdr:to>
    <xdr:cxnSp macro="">
      <xdr:nvCxnSpPr>
        <xdr:cNvPr id="90" name="Straight Connector 89">
          <a:extLst>
            <a:ext uri="{FF2B5EF4-FFF2-40B4-BE49-F238E27FC236}">
              <a16:creationId xmlns:a16="http://schemas.microsoft.com/office/drawing/2014/main" id="{5EEE80C5-D111-4C1D-891F-421AFF521AA7}"/>
            </a:ext>
          </a:extLst>
        </xdr:cNvPr>
        <xdr:cNvCxnSpPr/>
      </xdr:nvCxnSpPr>
      <xdr:spPr>
        <a:xfrm rot="6300000">
          <a:off x="2156746" y="5048788"/>
          <a:ext cx="3726000" cy="0"/>
        </a:xfrm>
        <a:prstGeom prst="line">
          <a:avLst/>
        </a:prstGeom>
        <a:ln w="1270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9525</xdr:colOff>
      <xdr:row>16</xdr:row>
      <xdr:rowOff>175177</xdr:rowOff>
    </xdr:from>
    <xdr:to>
      <xdr:col>7</xdr:col>
      <xdr:colOff>66744</xdr:colOff>
      <xdr:row>35</xdr:row>
      <xdr:rowOff>165652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324B9343-A166-401D-ABF6-C0CF36C60735}"/>
            </a:ext>
          </a:extLst>
        </xdr:cNvPr>
        <xdr:cNvGrpSpPr/>
      </xdr:nvGrpSpPr>
      <xdr:grpSpPr>
        <a:xfrm>
          <a:off x="614643" y="3223177"/>
          <a:ext cx="4674042" cy="3609975"/>
          <a:chOff x="620439" y="365677"/>
          <a:chExt cx="4701477" cy="3609975"/>
        </a:xfrm>
      </xdr:grpSpPr>
      <xdr:cxnSp macro="">
        <xdr:nvCxnSpPr>
          <xdr:cNvPr id="97" name="Straight Connector 96">
            <a:extLst>
              <a:ext uri="{FF2B5EF4-FFF2-40B4-BE49-F238E27FC236}">
                <a16:creationId xmlns:a16="http://schemas.microsoft.com/office/drawing/2014/main" id="{EE8A3705-8805-4F6D-BF17-6CACB8B71965}"/>
              </a:ext>
            </a:extLst>
          </xdr:cNvPr>
          <xdr:cNvCxnSpPr/>
        </xdr:nvCxnSpPr>
        <xdr:spPr>
          <a:xfrm flipH="1">
            <a:off x="3756221" y="3072848"/>
            <a:ext cx="39909" cy="159027"/>
          </a:xfrm>
          <a:prstGeom prst="line">
            <a:avLst/>
          </a:prstGeom>
          <a:ln w="28575">
            <a:solidFill>
              <a:srgbClr val="FF45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" name="Straight Connector 26">
            <a:extLst>
              <a:ext uri="{FF2B5EF4-FFF2-40B4-BE49-F238E27FC236}">
                <a16:creationId xmlns:a16="http://schemas.microsoft.com/office/drawing/2014/main" id="{3D0CB51B-7EAA-42FB-A23A-59139E1758B2}"/>
              </a:ext>
            </a:extLst>
          </xdr:cNvPr>
          <xdr:cNvCxnSpPr/>
        </xdr:nvCxnSpPr>
        <xdr:spPr>
          <a:xfrm>
            <a:off x="1593303" y="381000"/>
            <a:ext cx="3728613" cy="0"/>
          </a:xfrm>
          <a:prstGeom prst="line">
            <a:avLst/>
          </a:prstGeom>
          <a:ln w="28575">
            <a:solidFill>
              <a:srgbClr val="FF45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" name="Straight Connector 29">
            <a:extLst>
              <a:ext uri="{FF2B5EF4-FFF2-40B4-BE49-F238E27FC236}">
                <a16:creationId xmlns:a16="http://schemas.microsoft.com/office/drawing/2014/main" id="{DB523A5C-3B4F-4EDD-BB64-5D5B9B1329CE}"/>
              </a:ext>
            </a:extLst>
          </xdr:cNvPr>
          <xdr:cNvCxnSpPr/>
        </xdr:nvCxnSpPr>
        <xdr:spPr>
          <a:xfrm>
            <a:off x="620439" y="3971925"/>
            <a:ext cx="3731255" cy="0"/>
          </a:xfrm>
          <a:prstGeom prst="line">
            <a:avLst/>
          </a:prstGeom>
          <a:ln w="28575">
            <a:solidFill>
              <a:srgbClr val="008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641EC6BF-3394-4606-BDFA-1404F790B8F7}"/>
              </a:ext>
            </a:extLst>
          </xdr:cNvPr>
          <xdr:cNvCxnSpPr/>
        </xdr:nvCxnSpPr>
        <xdr:spPr>
          <a:xfrm>
            <a:off x="1298028" y="1514475"/>
            <a:ext cx="1612352" cy="1295400"/>
          </a:xfrm>
          <a:prstGeom prst="line">
            <a:avLst/>
          </a:prstGeom>
          <a:ln w="28575">
            <a:solidFill>
              <a:srgbClr val="FF45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F34F5EC-00AB-4708-A77F-685104B4571D}"/>
              </a:ext>
            </a:extLst>
          </xdr:cNvPr>
          <xdr:cNvCxnSpPr/>
        </xdr:nvCxnSpPr>
        <xdr:spPr>
          <a:xfrm>
            <a:off x="1908941" y="779808"/>
            <a:ext cx="3308475" cy="0"/>
          </a:xfrm>
          <a:prstGeom prst="line">
            <a:avLst/>
          </a:prstGeom>
          <a:ln w="28575">
            <a:solidFill>
              <a:srgbClr val="FF45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" name="Straight Connector 55">
            <a:extLst>
              <a:ext uri="{FF2B5EF4-FFF2-40B4-BE49-F238E27FC236}">
                <a16:creationId xmlns:a16="http://schemas.microsoft.com/office/drawing/2014/main" id="{4A3C7FED-F89D-4590-96D4-0992B4304E26}"/>
              </a:ext>
            </a:extLst>
          </xdr:cNvPr>
          <xdr:cNvCxnSpPr/>
        </xdr:nvCxnSpPr>
        <xdr:spPr>
          <a:xfrm>
            <a:off x="2213741" y="1114425"/>
            <a:ext cx="2895587" cy="0"/>
          </a:xfrm>
          <a:prstGeom prst="line">
            <a:avLst/>
          </a:prstGeom>
          <a:ln w="28575">
            <a:solidFill>
              <a:srgbClr val="0080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8" name="Straight Connector 57">
            <a:extLst>
              <a:ext uri="{FF2B5EF4-FFF2-40B4-BE49-F238E27FC236}">
                <a16:creationId xmlns:a16="http://schemas.microsoft.com/office/drawing/2014/main" id="{E1638992-BDB4-4792-9936-6DF0D81E0B88}"/>
              </a:ext>
            </a:extLst>
          </xdr:cNvPr>
          <xdr:cNvCxnSpPr/>
        </xdr:nvCxnSpPr>
        <xdr:spPr>
          <a:xfrm>
            <a:off x="810939" y="3200400"/>
            <a:ext cx="2947652" cy="0"/>
          </a:xfrm>
          <a:prstGeom prst="line">
            <a:avLst/>
          </a:prstGeom>
          <a:ln w="28575">
            <a:solidFill>
              <a:srgbClr val="FF45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9" name="Straight Connector 58">
            <a:extLst>
              <a:ext uri="{FF2B5EF4-FFF2-40B4-BE49-F238E27FC236}">
                <a16:creationId xmlns:a16="http://schemas.microsoft.com/office/drawing/2014/main" id="{29C3317E-5D65-4546-B529-72C84C0C853E}"/>
              </a:ext>
            </a:extLst>
          </xdr:cNvPr>
          <xdr:cNvCxnSpPr/>
        </xdr:nvCxnSpPr>
        <xdr:spPr>
          <a:xfrm>
            <a:off x="2996105" y="1504950"/>
            <a:ext cx="1979873" cy="0"/>
          </a:xfrm>
          <a:prstGeom prst="line">
            <a:avLst/>
          </a:prstGeom>
          <a:ln w="28575">
            <a:solidFill>
              <a:srgbClr val="0080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1" name="Straight Connector 60">
            <a:extLst>
              <a:ext uri="{FF2B5EF4-FFF2-40B4-BE49-F238E27FC236}">
                <a16:creationId xmlns:a16="http://schemas.microsoft.com/office/drawing/2014/main" id="{251C4D1A-E4AF-418C-AFA4-B16FD9C3DB7C}"/>
              </a:ext>
            </a:extLst>
          </xdr:cNvPr>
          <xdr:cNvCxnSpPr/>
        </xdr:nvCxnSpPr>
        <xdr:spPr>
          <a:xfrm>
            <a:off x="915714" y="2820642"/>
            <a:ext cx="1985141" cy="0"/>
          </a:xfrm>
          <a:prstGeom prst="line">
            <a:avLst/>
          </a:prstGeom>
          <a:ln w="28575">
            <a:solidFill>
              <a:srgbClr val="FF45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2" name="Straight Connector 61">
            <a:extLst>
              <a:ext uri="{FF2B5EF4-FFF2-40B4-BE49-F238E27FC236}">
                <a16:creationId xmlns:a16="http://schemas.microsoft.com/office/drawing/2014/main" id="{48221228-35F3-4CE0-8E7F-80DCC9D46CE9}"/>
              </a:ext>
            </a:extLst>
          </xdr:cNvPr>
          <xdr:cNvCxnSpPr/>
        </xdr:nvCxnSpPr>
        <xdr:spPr>
          <a:xfrm>
            <a:off x="753789" y="3590925"/>
            <a:ext cx="3319541" cy="0"/>
          </a:xfrm>
          <a:prstGeom prst="line">
            <a:avLst/>
          </a:prstGeom>
          <a:ln w="28575">
            <a:solidFill>
              <a:srgbClr val="0080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" name="Straight Connector 74">
            <a:extLst>
              <a:ext uri="{FF2B5EF4-FFF2-40B4-BE49-F238E27FC236}">
                <a16:creationId xmlns:a16="http://schemas.microsoft.com/office/drawing/2014/main" id="{A1BB3F5A-B9E0-4BDD-BC58-4B0209DA5020}"/>
              </a:ext>
            </a:extLst>
          </xdr:cNvPr>
          <xdr:cNvCxnSpPr/>
        </xdr:nvCxnSpPr>
        <xdr:spPr>
          <a:xfrm>
            <a:off x="3005630" y="1504950"/>
            <a:ext cx="1645571" cy="1314450"/>
          </a:xfrm>
          <a:prstGeom prst="line">
            <a:avLst/>
          </a:prstGeom>
          <a:ln w="28575">
            <a:solidFill>
              <a:srgbClr val="0080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9" name="Straight Connector 78">
            <a:extLst>
              <a:ext uri="{FF2B5EF4-FFF2-40B4-BE49-F238E27FC236}">
                <a16:creationId xmlns:a16="http://schemas.microsoft.com/office/drawing/2014/main" id="{02518B0C-1C4A-4C00-A8E2-3537417039A3}"/>
              </a:ext>
            </a:extLst>
          </xdr:cNvPr>
          <xdr:cNvCxnSpPr/>
        </xdr:nvCxnSpPr>
        <xdr:spPr>
          <a:xfrm flipH="1">
            <a:off x="1288503" y="381000"/>
            <a:ext cx="276225" cy="1123950"/>
          </a:xfrm>
          <a:prstGeom prst="line">
            <a:avLst/>
          </a:prstGeom>
          <a:ln w="28575">
            <a:solidFill>
              <a:srgbClr val="FF45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2" name="Straight Connector 81">
            <a:extLst>
              <a:ext uri="{FF2B5EF4-FFF2-40B4-BE49-F238E27FC236}">
                <a16:creationId xmlns:a16="http://schemas.microsoft.com/office/drawing/2014/main" id="{D70BB31B-A7D6-4314-AE27-2FFE72DFAE79}"/>
              </a:ext>
            </a:extLst>
          </xdr:cNvPr>
          <xdr:cNvCxnSpPr/>
        </xdr:nvCxnSpPr>
        <xdr:spPr>
          <a:xfrm flipH="1">
            <a:off x="1741263" y="771525"/>
            <a:ext cx="158154" cy="638175"/>
          </a:xfrm>
          <a:prstGeom prst="line">
            <a:avLst/>
          </a:prstGeom>
          <a:ln w="28575">
            <a:solidFill>
              <a:srgbClr val="FF45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4" name="Straight Connector 83">
            <a:extLst>
              <a:ext uri="{FF2B5EF4-FFF2-40B4-BE49-F238E27FC236}">
                <a16:creationId xmlns:a16="http://schemas.microsoft.com/office/drawing/2014/main" id="{3F6240D4-79DF-4531-B3A7-387F1E502055}"/>
              </a:ext>
            </a:extLst>
          </xdr:cNvPr>
          <xdr:cNvCxnSpPr/>
        </xdr:nvCxnSpPr>
        <xdr:spPr>
          <a:xfrm>
            <a:off x="1736178" y="1419225"/>
            <a:ext cx="2072109" cy="1648664"/>
          </a:xfrm>
          <a:prstGeom prst="line">
            <a:avLst/>
          </a:prstGeom>
          <a:ln w="28575">
            <a:solidFill>
              <a:srgbClr val="FF45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5" name="Straight Connector 84">
            <a:extLst>
              <a:ext uri="{FF2B5EF4-FFF2-40B4-BE49-F238E27FC236}">
                <a16:creationId xmlns:a16="http://schemas.microsoft.com/office/drawing/2014/main" id="{B514E992-92FC-409A-87B9-5D9B3C85CD1F}"/>
              </a:ext>
            </a:extLst>
          </xdr:cNvPr>
          <xdr:cNvCxnSpPr/>
        </xdr:nvCxnSpPr>
        <xdr:spPr>
          <a:xfrm flipH="1">
            <a:off x="2161044" y="1110853"/>
            <a:ext cx="53889" cy="222647"/>
          </a:xfrm>
          <a:prstGeom prst="line">
            <a:avLst/>
          </a:prstGeom>
          <a:ln w="28575">
            <a:solidFill>
              <a:srgbClr val="0080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7" name="Straight Connector 86">
            <a:extLst>
              <a:ext uri="{FF2B5EF4-FFF2-40B4-BE49-F238E27FC236}">
                <a16:creationId xmlns:a16="http://schemas.microsoft.com/office/drawing/2014/main" id="{2582CC28-0D59-47D9-B415-6C6AE823B6C7}"/>
              </a:ext>
            </a:extLst>
          </xdr:cNvPr>
          <xdr:cNvCxnSpPr/>
        </xdr:nvCxnSpPr>
        <xdr:spPr>
          <a:xfrm>
            <a:off x="2160254" y="1307124"/>
            <a:ext cx="2110584" cy="1677858"/>
          </a:xfrm>
          <a:prstGeom prst="line">
            <a:avLst/>
          </a:prstGeom>
          <a:ln w="28575">
            <a:solidFill>
              <a:srgbClr val="0080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1" name="Straight Connector 90">
            <a:extLst>
              <a:ext uri="{FF2B5EF4-FFF2-40B4-BE49-F238E27FC236}">
                <a16:creationId xmlns:a16="http://schemas.microsoft.com/office/drawing/2014/main" id="{DFF773EC-CB97-40B0-9DC5-92A1605DE434}"/>
              </a:ext>
            </a:extLst>
          </xdr:cNvPr>
          <xdr:cNvCxnSpPr/>
        </xdr:nvCxnSpPr>
        <xdr:spPr>
          <a:xfrm flipH="1">
            <a:off x="4363221" y="2792222"/>
            <a:ext cx="290515" cy="1183430"/>
          </a:xfrm>
          <a:prstGeom prst="line">
            <a:avLst/>
          </a:prstGeom>
          <a:ln w="28575">
            <a:solidFill>
              <a:srgbClr val="0080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4" name="Straight Connector 93">
            <a:extLst>
              <a:ext uri="{FF2B5EF4-FFF2-40B4-BE49-F238E27FC236}">
                <a16:creationId xmlns:a16="http://schemas.microsoft.com/office/drawing/2014/main" id="{AAA22A59-2D8A-4A1A-B64F-2EA8913A8699}"/>
              </a:ext>
            </a:extLst>
          </xdr:cNvPr>
          <xdr:cNvCxnSpPr/>
        </xdr:nvCxnSpPr>
        <xdr:spPr>
          <a:xfrm flipH="1">
            <a:off x="4065047" y="2949591"/>
            <a:ext cx="183413" cy="669909"/>
          </a:xfrm>
          <a:prstGeom prst="line">
            <a:avLst/>
          </a:prstGeom>
          <a:ln w="28575">
            <a:solidFill>
              <a:srgbClr val="0080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2" name="Straight Connector 101">
            <a:extLst>
              <a:ext uri="{FF2B5EF4-FFF2-40B4-BE49-F238E27FC236}">
                <a16:creationId xmlns:a16="http://schemas.microsoft.com/office/drawing/2014/main" id="{D1582C59-CFD8-44A6-83D3-58F1B2FD2584}"/>
              </a:ext>
            </a:extLst>
          </xdr:cNvPr>
          <xdr:cNvCxnSpPr/>
        </xdr:nvCxnSpPr>
        <xdr:spPr>
          <a:xfrm flipH="1">
            <a:off x="5199194" y="365677"/>
            <a:ext cx="97807" cy="397707"/>
          </a:xfrm>
          <a:prstGeom prst="line">
            <a:avLst/>
          </a:prstGeom>
          <a:ln w="28575">
            <a:solidFill>
              <a:srgbClr val="FF45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4" name="Straight Connector 103">
            <a:extLst>
              <a:ext uri="{FF2B5EF4-FFF2-40B4-BE49-F238E27FC236}">
                <a16:creationId xmlns:a16="http://schemas.microsoft.com/office/drawing/2014/main" id="{30679ADB-C8E7-4AB0-A8C9-64CB6B434182}"/>
              </a:ext>
            </a:extLst>
          </xdr:cNvPr>
          <xdr:cNvCxnSpPr/>
        </xdr:nvCxnSpPr>
        <xdr:spPr>
          <a:xfrm flipH="1">
            <a:off x="5000411" y="1135960"/>
            <a:ext cx="99807" cy="397707"/>
          </a:xfrm>
          <a:prstGeom prst="line">
            <a:avLst/>
          </a:prstGeom>
          <a:ln w="28575">
            <a:solidFill>
              <a:srgbClr val="0080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5" name="Straight Connector 104">
            <a:extLst>
              <a:ext uri="{FF2B5EF4-FFF2-40B4-BE49-F238E27FC236}">
                <a16:creationId xmlns:a16="http://schemas.microsoft.com/office/drawing/2014/main" id="{9D8B0577-FC23-4103-9B69-29AB1556E9A2}"/>
              </a:ext>
            </a:extLst>
          </xdr:cNvPr>
          <xdr:cNvCxnSpPr/>
        </xdr:nvCxnSpPr>
        <xdr:spPr>
          <a:xfrm flipH="1">
            <a:off x="627479" y="3571047"/>
            <a:ext cx="99807" cy="397707"/>
          </a:xfrm>
          <a:prstGeom prst="line">
            <a:avLst/>
          </a:prstGeom>
          <a:ln w="28575">
            <a:solidFill>
              <a:srgbClr val="0080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6" name="Straight Connector 105">
            <a:extLst>
              <a:ext uri="{FF2B5EF4-FFF2-40B4-BE49-F238E27FC236}">
                <a16:creationId xmlns:a16="http://schemas.microsoft.com/office/drawing/2014/main" id="{C5DB4164-9632-457C-99D1-41261C90CF92}"/>
              </a:ext>
            </a:extLst>
          </xdr:cNvPr>
          <xdr:cNvCxnSpPr/>
        </xdr:nvCxnSpPr>
        <xdr:spPr>
          <a:xfrm flipH="1">
            <a:off x="834544" y="2792482"/>
            <a:ext cx="99807" cy="397707"/>
          </a:xfrm>
          <a:prstGeom prst="line">
            <a:avLst/>
          </a:prstGeom>
          <a:ln w="28575">
            <a:solidFill>
              <a:srgbClr val="FF45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7</xdr:col>
      <xdr:colOff>53009</xdr:colOff>
      <xdr:row>15</xdr:row>
      <xdr:rowOff>163168</xdr:rowOff>
    </xdr:from>
    <xdr:to>
      <xdr:col>8</xdr:col>
      <xdr:colOff>348110</xdr:colOff>
      <xdr:row>16</xdr:row>
      <xdr:rowOff>144895</xdr:rowOff>
    </xdr:to>
    <xdr:sp macro="" textlink="$F$45">
      <xdr:nvSpPr>
        <xdr:cNvPr id="107" name="TextBox 106">
          <a:extLst>
            <a:ext uri="{FF2B5EF4-FFF2-40B4-BE49-F238E27FC236}">
              <a16:creationId xmlns:a16="http://schemas.microsoft.com/office/drawing/2014/main" id="{09879D15-6C0F-450F-A9FB-4EDF5D40E0E9}"/>
            </a:ext>
          </a:extLst>
        </xdr:cNvPr>
        <xdr:cNvSpPr txBox="1"/>
      </xdr:nvSpPr>
      <xdr:spPr>
        <a:xfrm>
          <a:off x="5274950" y="3020668"/>
          <a:ext cx="158377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8025E3AF-E8DE-4B39-A861-BA3D6357C1AF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B (1303.22537284121, 0)</a:t>
          </a:fld>
          <a:endParaRPr lang="en-US" sz="1100"/>
        </a:p>
      </xdr:txBody>
    </xdr:sp>
    <xdr:clientData/>
  </xdr:twoCellAnchor>
  <xdr:twoCellAnchor editAs="absolute">
    <xdr:from>
      <xdr:col>5</xdr:col>
      <xdr:colOff>1220857</xdr:colOff>
      <xdr:row>36</xdr:row>
      <xdr:rowOff>38929</xdr:rowOff>
    </xdr:from>
    <xdr:to>
      <xdr:col>7</xdr:col>
      <xdr:colOff>609709</xdr:colOff>
      <xdr:row>38</xdr:row>
      <xdr:rowOff>2382</xdr:rowOff>
    </xdr:to>
    <xdr:sp macro="" textlink="$F$46">
      <xdr:nvSpPr>
        <xdr:cNvPr id="108" name="TextBox 107">
          <a:extLst>
            <a:ext uri="{FF2B5EF4-FFF2-40B4-BE49-F238E27FC236}">
              <a16:creationId xmlns:a16="http://schemas.microsoft.com/office/drawing/2014/main" id="{180CC82F-9139-4F6C-AF91-59A56893613C}"/>
            </a:ext>
          </a:extLst>
        </xdr:cNvPr>
        <xdr:cNvSpPr txBox="1"/>
      </xdr:nvSpPr>
      <xdr:spPr>
        <a:xfrm>
          <a:off x="4246445" y="6896929"/>
          <a:ext cx="1585205" cy="34445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0B3C31-AA22-42FA-8725-BE3F0C0E628A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C (1035.27618041008, 1000)</a:t>
          </a:fld>
          <a:endParaRPr lang="en-US" sz="1100"/>
        </a:p>
      </xdr:txBody>
    </xdr:sp>
    <xdr:clientData/>
  </xdr:twoCellAnchor>
  <xdr:twoCellAnchor editAs="absolute">
    <xdr:from>
      <xdr:col>1</xdr:col>
      <xdr:colOff>43069</xdr:colOff>
      <xdr:row>32</xdr:row>
      <xdr:rowOff>166894</xdr:rowOff>
    </xdr:from>
    <xdr:to>
      <xdr:col>1</xdr:col>
      <xdr:colOff>246407</xdr:colOff>
      <xdr:row>33</xdr:row>
      <xdr:rowOff>148621</xdr:rowOff>
    </xdr:to>
    <xdr:sp macro="" textlink="$G$47">
      <xdr:nvSpPr>
        <xdr:cNvPr id="110" name="TextBox 109">
          <a:extLst>
            <a:ext uri="{FF2B5EF4-FFF2-40B4-BE49-F238E27FC236}">
              <a16:creationId xmlns:a16="http://schemas.microsoft.com/office/drawing/2014/main" id="{2585B9AB-021C-42E0-ADE8-67354EA9EF74}"/>
            </a:ext>
          </a:extLst>
        </xdr:cNvPr>
        <xdr:cNvSpPr txBox="1"/>
      </xdr:nvSpPr>
      <xdr:spPr>
        <a:xfrm>
          <a:off x="648187" y="6262894"/>
          <a:ext cx="203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178457CD-92E0-4580-A74C-890B23202452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1</a:t>
          </a:fld>
          <a:endParaRPr lang="en-US" sz="1100"/>
        </a:p>
      </xdr:txBody>
    </xdr:sp>
    <xdr:clientData/>
  </xdr:twoCellAnchor>
  <xdr:twoCellAnchor editAs="absolute">
    <xdr:from>
      <xdr:col>1</xdr:col>
      <xdr:colOff>84482</xdr:colOff>
      <xdr:row>31</xdr:row>
      <xdr:rowOff>59221</xdr:rowOff>
    </xdr:from>
    <xdr:to>
      <xdr:col>1</xdr:col>
      <xdr:colOff>287820</xdr:colOff>
      <xdr:row>32</xdr:row>
      <xdr:rowOff>40948</xdr:rowOff>
    </xdr:to>
    <xdr:sp macro="" textlink="$G$48">
      <xdr:nvSpPr>
        <xdr:cNvPr id="111" name="TextBox 110">
          <a:extLst>
            <a:ext uri="{FF2B5EF4-FFF2-40B4-BE49-F238E27FC236}">
              <a16:creationId xmlns:a16="http://schemas.microsoft.com/office/drawing/2014/main" id="{564550A7-3193-433D-84E7-A32924ECD6EE}"/>
            </a:ext>
          </a:extLst>
        </xdr:cNvPr>
        <xdr:cNvSpPr txBox="1"/>
      </xdr:nvSpPr>
      <xdr:spPr>
        <a:xfrm>
          <a:off x="689600" y="5964721"/>
          <a:ext cx="203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C2A9CC2A-1F10-4636-814E-4C53409CA47F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2</a:t>
          </a:fld>
          <a:endParaRPr lang="en-US" sz="1100"/>
        </a:p>
      </xdr:txBody>
    </xdr:sp>
    <xdr:clientData/>
  </xdr:twoCellAnchor>
  <xdr:twoCellAnchor editAs="absolute">
    <xdr:from>
      <xdr:col>1</xdr:col>
      <xdr:colOff>167308</xdr:colOff>
      <xdr:row>29</xdr:row>
      <xdr:rowOff>75786</xdr:rowOff>
    </xdr:from>
    <xdr:to>
      <xdr:col>1</xdr:col>
      <xdr:colOff>370646</xdr:colOff>
      <xdr:row>30</xdr:row>
      <xdr:rowOff>57513</xdr:rowOff>
    </xdr:to>
    <xdr:sp macro="" textlink="$G$49">
      <xdr:nvSpPr>
        <xdr:cNvPr id="112" name="TextBox 111">
          <a:extLst>
            <a:ext uri="{FF2B5EF4-FFF2-40B4-BE49-F238E27FC236}">
              <a16:creationId xmlns:a16="http://schemas.microsoft.com/office/drawing/2014/main" id="{BF18B316-DD7E-4555-9411-42CFAF164F0E}"/>
            </a:ext>
          </a:extLst>
        </xdr:cNvPr>
        <xdr:cNvSpPr txBox="1"/>
      </xdr:nvSpPr>
      <xdr:spPr>
        <a:xfrm>
          <a:off x="772426" y="5600286"/>
          <a:ext cx="203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CD7CDA71-AC23-4858-9888-6F78D85BB29C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3</a:t>
          </a:fld>
          <a:endParaRPr lang="en-US" sz="1100"/>
        </a:p>
      </xdr:txBody>
    </xdr:sp>
    <xdr:clientData/>
  </xdr:twoCellAnchor>
  <xdr:twoCellAnchor editAs="absolute">
    <xdr:from>
      <xdr:col>1</xdr:col>
      <xdr:colOff>515177</xdr:colOff>
      <xdr:row>22</xdr:row>
      <xdr:rowOff>50938</xdr:rowOff>
    </xdr:from>
    <xdr:to>
      <xdr:col>2</xdr:col>
      <xdr:colOff>111399</xdr:colOff>
      <xdr:row>23</xdr:row>
      <xdr:rowOff>32665</xdr:rowOff>
    </xdr:to>
    <xdr:sp macro="" textlink="$G$52">
      <xdr:nvSpPr>
        <xdr:cNvPr id="113" name="TextBox 112">
          <a:extLst>
            <a:ext uri="{FF2B5EF4-FFF2-40B4-BE49-F238E27FC236}">
              <a16:creationId xmlns:a16="http://schemas.microsoft.com/office/drawing/2014/main" id="{93D44AF0-7B7A-4AA1-A42A-1ADC5941D1F5}"/>
            </a:ext>
          </a:extLst>
        </xdr:cNvPr>
        <xdr:cNvSpPr txBox="1"/>
      </xdr:nvSpPr>
      <xdr:spPr>
        <a:xfrm>
          <a:off x="1120295" y="4241938"/>
          <a:ext cx="201339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5193DC57-DDDA-485A-BAE2-2FB7225A1D79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6</a:t>
          </a:fld>
          <a:endParaRPr lang="en-US" sz="1100"/>
        </a:p>
      </xdr:txBody>
    </xdr:sp>
    <xdr:clientData/>
  </xdr:twoCellAnchor>
  <xdr:twoCellAnchor editAs="absolute">
    <xdr:from>
      <xdr:col>2</xdr:col>
      <xdr:colOff>6592</xdr:colOff>
      <xdr:row>20</xdr:row>
      <xdr:rowOff>65812</xdr:rowOff>
    </xdr:from>
    <xdr:to>
      <xdr:col>2</xdr:col>
      <xdr:colOff>209930</xdr:colOff>
      <xdr:row>21</xdr:row>
      <xdr:rowOff>47539</xdr:rowOff>
    </xdr:to>
    <xdr:sp macro="" textlink="$G$51">
      <xdr:nvSpPr>
        <xdr:cNvPr id="114" name="TextBox 113">
          <a:extLst>
            <a:ext uri="{FF2B5EF4-FFF2-40B4-BE49-F238E27FC236}">
              <a16:creationId xmlns:a16="http://schemas.microsoft.com/office/drawing/2014/main" id="{882CBB20-9028-43DB-AEF1-CF0049258B7A}"/>
            </a:ext>
          </a:extLst>
        </xdr:cNvPr>
        <xdr:cNvSpPr txBox="1"/>
      </xdr:nvSpPr>
      <xdr:spPr>
        <a:xfrm>
          <a:off x="1216827" y="3875812"/>
          <a:ext cx="203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A2A36B6B-B374-4C75-BE2A-8926787F0A6F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5</a:t>
          </a:fld>
          <a:endParaRPr lang="en-US" sz="1100"/>
        </a:p>
      </xdr:txBody>
    </xdr:sp>
    <xdr:clientData/>
  </xdr:twoCellAnchor>
  <xdr:twoCellAnchor editAs="absolute">
    <xdr:from>
      <xdr:col>2</xdr:col>
      <xdr:colOff>117612</xdr:colOff>
      <xdr:row>18</xdr:row>
      <xdr:rowOff>117199</xdr:rowOff>
    </xdr:from>
    <xdr:to>
      <xdr:col>2</xdr:col>
      <xdr:colOff>320950</xdr:colOff>
      <xdr:row>19</xdr:row>
      <xdr:rowOff>98926</xdr:rowOff>
    </xdr:to>
    <xdr:sp macro="" textlink="$G$50">
      <xdr:nvSpPr>
        <xdr:cNvPr id="115" name="TextBox 114">
          <a:extLst>
            <a:ext uri="{FF2B5EF4-FFF2-40B4-BE49-F238E27FC236}">
              <a16:creationId xmlns:a16="http://schemas.microsoft.com/office/drawing/2014/main" id="{FB60AD12-E539-4BBE-98B6-DF5CB21A9E21}"/>
            </a:ext>
          </a:extLst>
        </xdr:cNvPr>
        <xdr:cNvSpPr txBox="1"/>
      </xdr:nvSpPr>
      <xdr:spPr>
        <a:xfrm>
          <a:off x="1327847" y="3546199"/>
          <a:ext cx="203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F7163390-8F98-40BB-B7A0-38FC09927385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4</a:t>
          </a:fld>
          <a:endParaRPr lang="en-US" sz="1100"/>
        </a:p>
      </xdr:txBody>
    </xdr:sp>
    <xdr:clientData/>
  </xdr:twoCellAnchor>
  <xdr:twoCellAnchor editAs="absolute">
    <xdr:from>
      <xdr:col>3</xdr:col>
      <xdr:colOff>85418</xdr:colOff>
      <xdr:row>19</xdr:row>
      <xdr:rowOff>9994</xdr:rowOff>
    </xdr:from>
    <xdr:to>
      <xdr:col>3</xdr:col>
      <xdr:colOff>286756</xdr:colOff>
      <xdr:row>19</xdr:row>
      <xdr:rowOff>182221</xdr:rowOff>
    </xdr:to>
    <xdr:sp macro="" textlink="$G$53">
      <xdr:nvSpPr>
        <xdr:cNvPr id="116" name="TextBox 115">
          <a:extLst>
            <a:ext uri="{FF2B5EF4-FFF2-40B4-BE49-F238E27FC236}">
              <a16:creationId xmlns:a16="http://schemas.microsoft.com/office/drawing/2014/main" id="{011504FC-398F-401D-9403-FA6B69B8BC8B}"/>
            </a:ext>
          </a:extLst>
        </xdr:cNvPr>
        <xdr:cNvSpPr txBox="1"/>
      </xdr:nvSpPr>
      <xdr:spPr>
        <a:xfrm>
          <a:off x="1900771" y="3629494"/>
          <a:ext cx="201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B01C4C2C-6491-407F-ABC4-E092019162E4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7</a:t>
          </a:fld>
          <a:endParaRPr lang="en-US" sz="1100"/>
        </a:p>
      </xdr:txBody>
    </xdr:sp>
    <xdr:clientData/>
  </xdr:twoCellAnchor>
  <xdr:twoCellAnchor editAs="absolute">
    <xdr:from>
      <xdr:col>2</xdr:col>
      <xdr:colOff>573156</xdr:colOff>
      <xdr:row>21</xdr:row>
      <xdr:rowOff>150330</xdr:rowOff>
    </xdr:from>
    <xdr:to>
      <xdr:col>3</xdr:col>
      <xdr:colOff>169376</xdr:colOff>
      <xdr:row>22</xdr:row>
      <xdr:rowOff>132057</xdr:rowOff>
    </xdr:to>
    <xdr:sp macro="" textlink="$G$54">
      <xdr:nvSpPr>
        <xdr:cNvPr id="117" name="TextBox 116">
          <a:extLst>
            <a:ext uri="{FF2B5EF4-FFF2-40B4-BE49-F238E27FC236}">
              <a16:creationId xmlns:a16="http://schemas.microsoft.com/office/drawing/2014/main" id="{6B3E68BA-2AF0-4DD2-BDEB-63A5799A78A8}"/>
            </a:ext>
          </a:extLst>
        </xdr:cNvPr>
        <xdr:cNvSpPr txBox="1"/>
      </xdr:nvSpPr>
      <xdr:spPr>
        <a:xfrm>
          <a:off x="1783391" y="4150830"/>
          <a:ext cx="201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68A68790-CC9B-4FF8-BA86-285D3C5657B4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8</a:t>
          </a:fld>
          <a:endParaRPr lang="en-US" sz="1100"/>
        </a:p>
      </xdr:txBody>
    </xdr:sp>
    <xdr:clientData/>
  </xdr:twoCellAnchor>
  <xdr:twoCellAnchor editAs="absolute">
    <xdr:from>
      <xdr:col>2</xdr:col>
      <xdr:colOff>59633</xdr:colOff>
      <xdr:row>28</xdr:row>
      <xdr:rowOff>158613</xdr:rowOff>
    </xdr:from>
    <xdr:to>
      <xdr:col>2</xdr:col>
      <xdr:colOff>262971</xdr:colOff>
      <xdr:row>29</xdr:row>
      <xdr:rowOff>140340</xdr:rowOff>
    </xdr:to>
    <xdr:sp macro="" textlink="$C$43">
      <xdr:nvSpPr>
        <xdr:cNvPr id="119" name="TextBox 118">
          <a:extLst>
            <a:ext uri="{FF2B5EF4-FFF2-40B4-BE49-F238E27FC236}">
              <a16:creationId xmlns:a16="http://schemas.microsoft.com/office/drawing/2014/main" id="{ABC7406B-8D8C-4A8C-A506-7E1467F545A9}"/>
            </a:ext>
          </a:extLst>
        </xdr:cNvPr>
        <xdr:cNvSpPr txBox="1"/>
      </xdr:nvSpPr>
      <xdr:spPr>
        <a:xfrm>
          <a:off x="1269868" y="5492613"/>
          <a:ext cx="203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3F4138BC-2E44-45DE-8FA2-C65CF8C6A41F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h</a:t>
          </a:fld>
          <a:endParaRPr lang="en-US" sz="1100"/>
        </a:p>
      </xdr:txBody>
    </xdr:sp>
    <xdr:clientData/>
  </xdr:twoCellAnchor>
  <xdr:twoCellAnchor editAs="absolute">
    <xdr:from>
      <xdr:col>6</xdr:col>
      <xdr:colOff>92763</xdr:colOff>
      <xdr:row>29</xdr:row>
      <xdr:rowOff>108916</xdr:rowOff>
    </xdr:from>
    <xdr:to>
      <xdr:col>6</xdr:col>
      <xdr:colOff>296101</xdr:colOff>
      <xdr:row>30</xdr:row>
      <xdr:rowOff>90643</xdr:rowOff>
    </xdr:to>
    <xdr:sp macro="" textlink="$G$61">
      <xdr:nvSpPr>
        <xdr:cNvPr id="120" name="TextBox 119">
          <a:extLst>
            <a:ext uri="{FF2B5EF4-FFF2-40B4-BE49-F238E27FC236}">
              <a16:creationId xmlns:a16="http://schemas.microsoft.com/office/drawing/2014/main" id="{00ED1703-7C96-4EBD-BB8D-18DCB4DE22A5}"/>
            </a:ext>
          </a:extLst>
        </xdr:cNvPr>
        <xdr:cNvSpPr txBox="1"/>
      </xdr:nvSpPr>
      <xdr:spPr>
        <a:xfrm>
          <a:off x="4709587" y="5633416"/>
          <a:ext cx="203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7D89E249-38F5-4848-80CA-3172ADD7DA4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15</a:t>
          </a:fld>
          <a:endParaRPr lang="en-US" sz="1100"/>
        </a:p>
      </xdr:txBody>
    </xdr:sp>
    <xdr:clientData/>
  </xdr:twoCellAnchor>
  <xdr:twoCellAnchor editAs="absolute">
    <xdr:from>
      <xdr:col>5</xdr:col>
      <xdr:colOff>1475959</xdr:colOff>
      <xdr:row>33</xdr:row>
      <xdr:rowOff>92351</xdr:rowOff>
    </xdr:from>
    <xdr:to>
      <xdr:col>6</xdr:col>
      <xdr:colOff>87490</xdr:colOff>
      <xdr:row>34</xdr:row>
      <xdr:rowOff>74078</xdr:rowOff>
    </xdr:to>
    <xdr:sp macro="" textlink="$G$63">
      <xdr:nvSpPr>
        <xdr:cNvPr id="121" name="TextBox 120">
          <a:extLst>
            <a:ext uri="{FF2B5EF4-FFF2-40B4-BE49-F238E27FC236}">
              <a16:creationId xmlns:a16="http://schemas.microsoft.com/office/drawing/2014/main" id="{5EBC4792-F3D4-4FF6-BFBF-8EEECBF6FF1E}"/>
            </a:ext>
          </a:extLst>
        </xdr:cNvPr>
        <xdr:cNvSpPr txBox="1"/>
      </xdr:nvSpPr>
      <xdr:spPr>
        <a:xfrm>
          <a:off x="4501547" y="6378851"/>
          <a:ext cx="202767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5E353C3D-4DD4-4176-8001-2D650B20017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17</a:t>
          </a:fld>
          <a:endParaRPr lang="en-US" sz="1100"/>
        </a:p>
      </xdr:txBody>
    </xdr:sp>
    <xdr:clientData/>
  </xdr:twoCellAnchor>
  <xdr:twoCellAnchor editAs="absolute">
    <xdr:from>
      <xdr:col>6</xdr:col>
      <xdr:colOff>415784</xdr:colOff>
      <xdr:row>22</xdr:row>
      <xdr:rowOff>175177</xdr:rowOff>
    </xdr:from>
    <xdr:to>
      <xdr:col>7</xdr:col>
      <xdr:colOff>12005</xdr:colOff>
      <xdr:row>23</xdr:row>
      <xdr:rowOff>156904</xdr:rowOff>
    </xdr:to>
    <xdr:sp macro="" textlink="$G$60">
      <xdr:nvSpPr>
        <xdr:cNvPr id="122" name="TextBox 121">
          <a:extLst>
            <a:ext uri="{FF2B5EF4-FFF2-40B4-BE49-F238E27FC236}">
              <a16:creationId xmlns:a16="http://schemas.microsoft.com/office/drawing/2014/main" id="{D37CF5CB-43D4-4785-9C53-5E766AEA43A4}"/>
            </a:ext>
          </a:extLst>
        </xdr:cNvPr>
        <xdr:cNvSpPr txBox="1"/>
      </xdr:nvSpPr>
      <xdr:spPr>
        <a:xfrm>
          <a:off x="5032608" y="4366177"/>
          <a:ext cx="201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68550E6C-A25E-4558-9E04-A59A170CF51C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14</a:t>
          </a:fld>
          <a:endParaRPr lang="en-US" sz="1100"/>
        </a:p>
      </xdr:txBody>
    </xdr:sp>
    <xdr:clientData/>
  </xdr:twoCellAnchor>
  <xdr:twoCellAnchor editAs="absolute">
    <xdr:from>
      <xdr:col>6</xdr:col>
      <xdr:colOff>515176</xdr:colOff>
      <xdr:row>20</xdr:row>
      <xdr:rowOff>125481</xdr:rowOff>
    </xdr:from>
    <xdr:to>
      <xdr:col>7</xdr:col>
      <xdr:colOff>111397</xdr:colOff>
      <xdr:row>21</xdr:row>
      <xdr:rowOff>107208</xdr:rowOff>
    </xdr:to>
    <xdr:sp macro="" textlink="$G$59">
      <xdr:nvSpPr>
        <xdr:cNvPr id="123" name="TextBox 122">
          <a:extLst>
            <a:ext uri="{FF2B5EF4-FFF2-40B4-BE49-F238E27FC236}">
              <a16:creationId xmlns:a16="http://schemas.microsoft.com/office/drawing/2014/main" id="{1B85DCB9-029C-4DE7-B182-090CF1903001}"/>
            </a:ext>
          </a:extLst>
        </xdr:cNvPr>
        <xdr:cNvSpPr txBox="1"/>
      </xdr:nvSpPr>
      <xdr:spPr>
        <a:xfrm>
          <a:off x="5132000" y="3935481"/>
          <a:ext cx="201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1EB9568F-C41E-4C73-8679-6A25F5B48377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13</a:t>
          </a:fld>
          <a:endParaRPr lang="en-US" sz="1100"/>
        </a:p>
      </xdr:txBody>
    </xdr:sp>
    <xdr:clientData/>
  </xdr:twoCellAnchor>
  <xdr:twoCellAnchor editAs="absolute">
    <xdr:from>
      <xdr:col>7</xdr:col>
      <xdr:colOff>1167</xdr:colOff>
      <xdr:row>18</xdr:row>
      <xdr:rowOff>150329</xdr:rowOff>
    </xdr:from>
    <xdr:to>
      <xdr:col>7</xdr:col>
      <xdr:colOff>202505</xdr:colOff>
      <xdr:row>19</xdr:row>
      <xdr:rowOff>132056</xdr:rowOff>
    </xdr:to>
    <xdr:sp macro="" textlink="$G$58">
      <xdr:nvSpPr>
        <xdr:cNvPr id="124" name="TextBox 123">
          <a:extLst>
            <a:ext uri="{FF2B5EF4-FFF2-40B4-BE49-F238E27FC236}">
              <a16:creationId xmlns:a16="http://schemas.microsoft.com/office/drawing/2014/main" id="{DC038681-B2D3-45D1-AF61-4804FC267B61}"/>
            </a:ext>
          </a:extLst>
        </xdr:cNvPr>
        <xdr:cNvSpPr txBox="1"/>
      </xdr:nvSpPr>
      <xdr:spPr>
        <a:xfrm>
          <a:off x="5223108" y="3579329"/>
          <a:ext cx="201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980C8020-ACA1-4CA9-BA47-4F464DCAA2D4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12</a:t>
          </a:fld>
          <a:endParaRPr lang="en-US" sz="1100"/>
        </a:p>
      </xdr:txBody>
    </xdr:sp>
    <xdr:clientData/>
  </xdr:twoCellAnchor>
  <xdr:twoCellAnchor editAs="absolute">
    <xdr:from>
      <xdr:col>3</xdr:col>
      <xdr:colOff>291545</xdr:colOff>
      <xdr:row>20</xdr:row>
      <xdr:rowOff>1242</xdr:rowOff>
    </xdr:from>
    <xdr:to>
      <xdr:col>3</xdr:col>
      <xdr:colOff>494883</xdr:colOff>
      <xdr:row>20</xdr:row>
      <xdr:rowOff>173469</xdr:rowOff>
    </xdr:to>
    <xdr:sp macro="" textlink="$G$55">
      <xdr:nvSpPr>
        <xdr:cNvPr id="125" name="TextBox 124">
          <a:extLst>
            <a:ext uri="{FF2B5EF4-FFF2-40B4-BE49-F238E27FC236}">
              <a16:creationId xmlns:a16="http://schemas.microsoft.com/office/drawing/2014/main" id="{E2E28FEB-253B-416F-814A-99BE1446B684}"/>
            </a:ext>
          </a:extLst>
        </xdr:cNvPr>
        <xdr:cNvSpPr txBox="1"/>
      </xdr:nvSpPr>
      <xdr:spPr>
        <a:xfrm>
          <a:off x="2106898" y="3811242"/>
          <a:ext cx="203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CD407510-76E6-4BD5-A963-0783325E8925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9</a:t>
          </a:fld>
          <a:endParaRPr lang="en-US" sz="1100"/>
        </a:p>
      </xdr:txBody>
    </xdr:sp>
    <xdr:clientData/>
  </xdr:twoCellAnchor>
  <xdr:twoCellAnchor editAs="absolute">
    <xdr:from>
      <xdr:col>3</xdr:col>
      <xdr:colOff>399219</xdr:colOff>
      <xdr:row>21</xdr:row>
      <xdr:rowOff>75786</xdr:rowOff>
    </xdr:from>
    <xdr:to>
      <xdr:col>3</xdr:col>
      <xdr:colOff>602557</xdr:colOff>
      <xdr:row>22</xdr:row>
      <xdr:rowOff>57513</xdr:rowOff>
    </xdr:to>
    <xdr:sp macro="" textlink="$G$56">
      <xdr:nvSpPr>
        <xdr:cNvPr id="126" name="TextBox 125">
          <a:extLst>
            <a:ext uri="{FF2B5EF4-FFF2-40B4-BE49-F238E27FC236}">
              <a16:creationId xmlns:a16="http://schemas.microsoft.com/office/drawing/2014/main" id="{1EE71ED9-2479-4218-9BB7-4C766ADB12ED}"/>
            </a:ext>
          </a:extLst>
        </xdr:cNvPr>
        <xdr:cNvSpPr txBox="1"/>
      </xdr:nvSpPr>
      <xdr:spPr>
        <a:xfrm>
          <a:off x="2214572" y="4076286"/>
          <a:ext cx="203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A207C3E0-7DF4-4B72-8F6E-36BF8A9536B3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10</a:t>
          </a:fld>
          <a:endParaRPr lang="en-US" sz="1100"/>
        </a:p>
      </xdr:txBody>
    </xdr:sp>
    <xdr:clientData/>
  </xdr:twoCellAnchor>
  <xdr:twoCellAnchor editAs="absolute">
    <xdr:from>
      <xdr:col>4</xdr:col>
      <xdr:colOff>548306</xdr:colOff>
      <xdr:row>21</xdr:row>
      <xdr:rowOff>166894</xdr:rowOff>
    </xdr:from>
    <xdr:to>
      <xdr:col>5</xdr:col>
      <xdr:colOff>144528</xdr:colOff>
      <xdr:row>22</xdr:row>
      <xdr:rowOff>148621</xdr:rowOff>
    </xdr:to>
    <xdr:sp macro="" textlink="$G$57">
      <xdr:nvSpPr>
        <xdr:cNvPr id="127" name="TextBox 126">
          <a:extLst>
            <a:ext uri="{FF2B5EF4-FFF2-40B4-BE49-F238E27FC236}">
              <a16:creationId xmlns:a16="http://schemas.microsoft.com/office/drawing/2014/main" id="{14E0880E-2533-4D11-A192-481D5AABAE2F}"/>
            </a:ext>
          </a:extLst>
        </xdr:cNvPr>
        <xdr:cNvSpPr txBox="1"/>
      </xdr:nvSpPr>
      <xdr:spPr>
        <a:xfrm>
          <a:off x="2968777" y="4167394"/>
          <a:ext cx="201339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65BDCFC-3535-42E5-9900-AC9F13C229C3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11</a:t>
          </a:fld>
          <a:endParaRPr lang="en-US" sz="1100"/>
        </a:p>
      </xdr:txBody>
    </xdr:sp>
    <xdr:clientData/>
  </xdr:twoCellAnchor>
  <xdr:twoCellAnchor editAs="absolute">
    <xdr:from>
      <xdr:col>5</xdr:col>
      <xdr:colOff>1210915</xdr:colOff>
      <xdr:row>30</xdr:row>
      <xdr:rowOff>1242</xdr:rowOff>
    </xdr:from>
    <xdr:to>
      <xdr:col>5</xdr:col>
      <xdr:colOff>1414253</xdr:colOff>
      <xdr:row>30</xdr:row>
      <xdr:rowOff>173469</xdr:rowOff>
    </xdr:to>
    <xdr:sp macro="" textlink="$G$66">
      <xdr:nvSpPr>
        <xdr:cNvPr id="128" name="TextBox 127">
          <a:extLst>
            <a:ext uri="{FF2B5EF4-FFF2-40B4-BE49-F238E27FC236}">
              <a16:creationId xmlns:a16="http://schemas.microsoft.com/office/drawing/2014/main" id="{0A9EED62-45E9-412A-9148-FABD0136A3F6}"/>
            </a:ext>
          </a:extLst>
        </xdr:cNvPr>
        <xdr:cNvSpPr txBox="1"/>
      </xdr:nvSpPr>
      <xdr:spPr>
        <a:xfrm>
          <a:off x="4236503" y="5716242"/>
          <a:ext cx="203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2B9D5350-95C6-4964-B3EF-D5CA97E84605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20</a:t>
          </a:fld>
          <a:endParaRPr lang="en-US" sz="1100"/>
        </a:p>
      </xdr:txBody>
    </xdr:sp>
    <xdr:clientData/>
  </xdr:twoCellAnchor>
  <xdr:twoCellAnchor editAs="absolute">
    <xdr:from>
      <xdr:col>5</xdr:col>
      <xdr:colOff>1045263</xdr:colOff>
      <xdr:row>33</xdr:row>
      <xdr:rowOff>158612</xdr:rowOff>
    </xdr:from>
    <xdr:to>
      <xdr:col>5</xdr:col>
      <xdr:colOff>1248601</xdr:colOff>
      <xdr:row>34</xdr:row>
      <xdr:rowOff>140339</xdr:rowOff>
    </xdr:to>
    <xdr:sp macro="" textlink="$G$65">
      <xdr:nvSpPr>
        <xdr:cNvPr id="130" name="TextBox 129">
          <a:extLst>
            <a:ext uri="{FF2B5EF4-FFF2-40B4-BE49-F238E27FC236}">
              <a16:creationId xmlns:a16="http://schemas.microsoft.com/office/drawing/2014/main" id="{866AB7FC-4735-4ABA-96A5-22FE3DED719C}"/>
            </a:ext>
          </a:extLst>
        </xdr:cNvPr>
        <xdr:cNvSpPr txBox="1"/>
      </xdr:nvSpPr>
      <xdr:spPr>
        <a:xfrm>
          <a:off x="4070851" y="6445112"/>
          <a:ext cx="203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7175907B-B8CD-4077-BE42-4AE05E659B95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19</a:t>
          </a:fld>
          <a:endParaRPr lang="en-US" sz="1100"/>
        </a:p>
      </xdr:txBody>
    </xdr:sp>
    <xdr:clientData/>
  </xdr:twoCellAnchor>
  <xdr:twoCellAnchor editAs="absolute">
    <xdr:from>
      <xdr:col>7</xdr:col>
      <xdr:colOff>479150</xdr:colOff>
      <xdr:row>17</xdr:row>
      <xdr:rowOff>8283</xdr:rowOff>
    </xdr:from>
    <xdr:to>
      <xdr:col>10</xdr:col>
      <xdr:colOff>942266</xdr:colOff>
      <xdr:row>17</xdr:row>
      <xdr:rowOff>8283</xdr:rowOff>
    </xdr:to>
    <xdr:cxnSp macro="">
      <xdr:nvCxnSpPr>
        <xdr:cNvPr id="131" name="Straight Connector 130">
          <a:extLst>
            <a:ext uri="{FF2B5EF4-FFF2-40B4-BE49-F238E27FC236}">
              <a16:creationId xmlns:a16="http://schemas.microsoft.com/office/drawing/2014/main" id="{642A5489-EE77-48F8-8C31-F3D3FA05FC63}"/>
            </a:ext>
          </a:extLst>
        </xdr:cNvPr>
        <xdr:cNvCxnSpPr/>
      </xdr:nvCxnSpPr>
      <xdr:spPr>
        <a:xfrm>
          <a:off x="5701091" y="3246783"/>
          <a:ext cx="3690410" cy="0"/>
        </a:xfrm>
        <a:prstGeom prst="line">
          <a:avLst/>
        </a:prstGeom>
        <a:ln w="12700">
          <a:solidFill>
            <a:schemeClr val="tx1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8528</xdr:colOff>
      <xdr:row>16</xdr:row>
      <xdr:rowOff>129504</xdr:rowOff>
    </xdr:from>
    <xdr:to>
      <xdr:col>7</xdr:col>
      <xdr:colOff>8528</xdr:colOff>
      <xdr:row>36</xdr:row>
      <xdr:rowOff>45504</xdr:rowOff>
    </xdr:to>
    <xdr:cxnSp macro="">
      <xdr:nvCxnSpPr>
        <xdr:cNvPr id="132" name="Straight Connector 131">
          <a:extLst>
            <a:ext uri="{FF2B5EF4-FFF2-40B4-BE49-F238E27FC236}">
              <a16:creationId xmlns:a16="http://schemas.microsoft.com/office/drawing/2014/main" id="{2C4DF4C3-4024-447F-B30A-45D65EE08081}"/>
            </a:ext>
          </a:extLst>
        </xdr:cNvPr>
        <xdr:cNvCxnSpPr/>
      </xdr:nvCxnSpPr>
      <xdr:spPr>
        <a:xfrm rot="6300000">
          <a:off x="3367469" y="5040504"/>
          <a:ext cx="3726000" cy="0"/>
        </a:xfrm>
        <a:prstGeom prst="line">
          <a:avLst/>
        </a:prstGeom>
        <a:ln w="12700">
          <a:solidFill>
            <a:schemeClr val="tx1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147846</xdr:colOff>
      <xdr:row>35</xdr:row>
      <xdr:rowOff>173935</xdr:rowOff>
    </xdr:from>
    <xdr:to>
      <xdr:col>10</xdr:col>
      <xdr:colOff>5844</xdr:colOff>
      <xdr:row>35</xdr:row>
      <xdr:rowOff>173935</xdr:rowOff>
    </xdr:to>
    <xdr:cxnSp macro="">
      <xdr:nvCxnSpPr>
        <xdr:cNvPr id="133" name="Straight Connector 132">
          <a:extLst>
            <a:ext uri="{FF2B5EF4-FFF2-40B4-BE49-F238E27FC236}">
              <a16:creationId xmlns:a16="http://schemas.microsoft.com/office/drawing/2014/main" id="{C5A64673-92D6-4512-9420-4A121C3D09B7}"/>
            </a:ext>
          </a:extLst>
        </xdr:cNvPr>
        <xdr:cNvCxnSpPr/>
      </xdr:nvCxnSpPr>
      <xdr:spPr>
        <a:xfrm>
          <a:off x="4764670" y="6841435"/>
          <a:ext cx="3690409" cy="0"/>
        </a:xfrm>
        <a:prstGeom prst="line">
          <a:avLst/>
        </a:prstGeom>
        <a:ln w="12700">
          <a:solidFill>
            <a:schemeClr val="tx1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367164</xdr:colOff>
      <xdr:row>16</xdr:row>
      <xdr:rowOff>160150</xdr:rowOff>
    </xdr:from>
    <xdr:to>
      <xdr:col>7</xdr:col>
      <xdr:colOff>367164</xdr:colOff>
      <xdr:row>36</xdr:row>
      <xdr:rowOff>76150</xdr:rowOff>
    </xdr:to>
    <xdr:cxnSp macro="">
      <xdr:nvCxnSpPr>
        <xdr:cNvPr id="134" name="Straight Connector 133">
          <a:extLst>
            <a:ext uri="{FF2B5EF4-FFF2-40B4-BE49-F238E27FC236}">
              <a16:creationId xmlns:a16="http://schemas.microsoft.com/office/drawing/2014/main" id="{00D0E838-EC8A-4E60-9D8E-5983BECC0D41}"/>
            </a:ext>
          </a:extLst>
        </xdr:cNvPr>
        <xdr:cNvCxnSpPr/>
      </xdr:nvCxnSpPr>
      <xdr:spPr>
        <a:xfrm rot="6300000">
          <a:off x="3726105" y="5071150"/>
          <a:ext cx="3726000" cy="0"/>
        </a:xfrm>
        <a:prstGeom prst="line">
          <a:avLst/>
        </a:prstGeom>
        <a:ln w="1270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455836</xdr:colOff>
      <xdr:row>16</xdr:row>
      <xdr:rowOff>151867</xdr:rowOff>
    </xdr:from>
    <xdr:to>
      <xdr:col>10</xdr:col>
      <xdr:colOff>455836</xdr:colOff>
      <xdr:row>36</xdr:row>
      <xdr:rowOff>67867</xdr:rowOff>
    </xdr:to>
    <xdr:cxnSp macro="">
      <xdr:nvCxnSpPr>
        <xdr:cNvPr id="135" name="Straight Connector 134">
          <a:extLst>
            <a:ext uri="{FF2B5EF4-FFF2-40B4-BE49-F238E27FC236}">
              <a16:creationId xmlns:a16="http://schemas.microsoft.com/office/drawing/2014/main" id="{09D89416-08BB-428D-87A3-B64B88EDFCC3}"/>
            </a:ext>
          </a:extLst>
        </xdr:cNvPr>
        <xdr:cNvCxnSpPr/>
      </xdr:nvCxnSpPr>
      <xdr:spPr>
        <a:xfrm rot="6300000">
          <a:off x="7042071" y="5062867"/>
          <a:ext cx="3726000" cy="0"/>
        </a:xfrm>
        <a:prstGeom prst="line">
          <a:avLst/>
        </a:prstGeom>
        <a:ln w="12700">
          <a:solidFill>
            <a:schemeClr val="tx1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99195</xdr:colOff>
      <xdr:row>16</xdr:row>
      <xdr:rowOff>160150</xdr:rowOff>
    </xdr:from>
    <xdr:to>
      <xdr:col>10</xdr:col>
      <xdr:colOff>99195</xdr:colOff>
      <xdr:row>36</xdr:row>
      <xdr:rowOff>76150</xdr:rowOff>
    </xdr:to>
    <xdr:cxnSp macro="">
      <xdr:nvCxnSpPr>
        <xdr:cNvPr id="136" name="Straight Connector 135">
          <a:extLst>
            <a:ext uri="{FF2B5EF4-FFF2-40B4-BE49-F238E27FC236}">
              <a16:creationId xmlns:a16="http://schemas.microsoft.com/office/drawing/2014/main" id="{0D250573-2643-437A-8BD2-9BEA5BAD9B40}"/>
            </a:ext>
          </a:extLst>
        </xdr:cNvPr>
        <xdr:cNvCxnSpPr/>
      </xdr:nvCxnSpPr>
      <xdr:spPr>
        <a:xfrm rot="6300000">
          <a:off x="6685430" y="5071150"/>
          <a:ext cx="3726000" cy="0"/>
        </a:xfrm>
        <a:prstGeom prst="line">
          <a:avLst/>
        </a:prstGeom>
        <a:ln w="1270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372521</xdr:colOff>
      <xdr:row>16</xdr:row>
      <xdr:rowOff>168433</xdr:rowOff>
    </xdr:from>
    <xdr:to>
      <xdr:col>9</xdr:col>
      <xdr:colOff>372521</xdr:colOff>
      <xdr:row>36</xdr:row>
      <xdr:rowOff>84433</xdr:rowOff>
    </xdr:to>
    <xdr:cxnSp macro="">
      <xdr:nvCxnSpPr>
        <xdr:cNvPr id="137" name="Straight Connector 136">
          <a:extLst>
            <a:ext uri="{FF2B5EF4-FFF2-40B4-BE49-F238E27FC236}">
              <a16:creationId xmlns:a16="http://schemas.microsoft.com/office/drawing/2014/main" id="{1676515E-4929-495F-BDBA-8A2A91AB5906}"/>
            </a:ext>
          </a:extLst>
        </xdr:cNvPr>
        <xdr:cNvCxnSpPr/>
      </xdr:nvCxnSpPr>
      <xdr:spPr>
        <a:xfrm rot="6300000">
          <a:off x="6353639" y="5079433"/>
          <a:ext cx="3726000" cy="0"/>
        </a:xfrm>
        <a:prstGeom prst="line">
          <a:avLst/>
        </a:prstGeom>
        <a:ln w="1270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740367</xdr:colOff>
      <xdr:row>16</xdr:row>
      <xdr:rowOff>143586</xdr:rowOff>
    </xdr:from>
    <xdr:to>
      <xdr:col>7</xdr:col>
      <xdr:colOff>740367</xdr:colOff>
      <xdr:row>36</xdr:row>
      <xdr:rowOff>59586</xdr:rowOff>
    </xdr:to>
    <xdr:cxnSp macro="">
      <xdr:nvCxnSpPr>
        <xdr:cNvPr id="138" name="Straight Connector 137">
          <a:extLst>
            <a:ext uri="{FF2B5EF4-FFF2-40B4-BE49-F238E27FC236}">
              <a16:creationId xmlns:a16="http://schemas.microsoft.com/office/drawing/2014/main" id="{486A4DCD-6AB3-4732-923D-408219C0CB29}"/>
            </a:ext>
          </a:extLst>
        </xdr:cNvPr>
        <xdr:cNvCxnSpPr/>
      </xdr:nvCxnSpPr>
      <xdr:spPr>
        <a:xfrm rot="6300000">
          <a:off x="4099308" y="5054586"/>
          <a:ext cx="3726000" cy="0"/>
        </a:xfrm>
        <a:prstGeom prst="line">
          <a:avLst/>
        </a:prstGeom>
        <a:ln w="1270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1113084</xdr:colOff>
      <xdr:row>16</xdr:row>
      <xdr:rowOff>168433</xdr:rowOff>
    </xdr:from>
    <xdr:to>
      <xdr:col>7</xdr:col>
      <xdr:colOff>1113084</xdr:colOff>
      <xdr:row>36</xdr:row>
      <xdr:rowOff>84433</xdr:rowOff>
    </xdr:to>
    <xdr:cxnSp macro="">
      <xdr:nvCxnSpPr>
        <xdr:cNvPr id="139" name="Straight Connector 138">
          <a:extLst>
            <a:ext uri="{FF2B5EF4-FFF2-40B4-BE49-F238E27FC236}">
              <a16:creationId xmlns:a16="http://schemas.microsoft.com/office/drawing/2014/main" id="{40E6BDAA-511E-4D41-89FF-B1ADF85579C6}"/>
            </a:ext>
          </a:extLst>
        </xdr:cNvPr>
        <xdr:cNvCxnSpPr/>
      </xdr:nvCxnSpPr>
      <xdr:spPr>
        <a:xfrm rot="6300000">
          <a:off x="4472025" y="5079433"/>
          <a:ext cx="3726000" cy="0"/>
        </a:xfrm>
        <a:prstGeom prst="line">
          <a:avLst/>
        </a:prstGeom>
        <a:ln w="1270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16369</xdr:colOff>
      <xdr:row>16</xdr:row>
      <xdr:rowOff>151868</xdr:rowOff>
    </xdr:from>
    <xdr:to>
      <xdr:col>9</xdr:col>
      <xdr:colOff>16369</xdr:colOff>
      <xdr:row>36</xdr:row>
      <xdr:rowOff>67868</xdr:rowOff>
    </xdr:to>
    <xdr:cxnSp macro="">
      <xdr:nvCxnSpPr>
        <xdr:cNvPr id="140" name="Straight Connector 139">
          <a:extLst>
            <a:ext uri="{FF2B5EF4-FFF2-40B4-BE49-F238E27FC236}">
              <a16:creationId xmlns:a16="http://schemas.microsoft.com/office/drawing/2014/main" id="{107FEF89-DEA0-4CDD-BB4F-AF7657BC5F49}"/>
            </a:ext>
          </a:extLst>
        </xdr:cNvPr>
        <xdr:cNvCxnSpPr/>
      </xdr:nvCxnSpPr>
      <xdr:spPr>
        <a:xfrm rot="6300000">
          <a:off x="5997487" y="5062868"/>
          <a:ext cx="3726000" cy="0"/>
        </a:xfrm>
        <a:prstGeom prst="line">
          <a:avLst/>
        </a:prstGeom>
        <a:ln w="1270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496957</xdr:colOff>
      <xdr:row>17</xdr:row>
      <xdr:rowOff>24848</xdr:rowOff>
    </xdr:from>
    <xdr:to>
      <xdr:col>8</xdr:col>
      <xdr:colOff>857981</xdr:colOff>
      <xdr:row>35</xdr:row>
      <xdr:rowOff>140804</xdr:rowOff>
    </xdr:to>
    <xdr:cxnSp macro="">
      <xdr:nvCxnSpPr>
        <xdr:cNvPr id="141" name="Straight Connector 140">
          <a:extLst>
            <a:ext uri="{FF2B5EF4-FFF2-40B4-BE49-F238E27FC236}">
              <a16:creationId xmlns:a16="http://schemas.microsoft.com/office/drawing/2014/main" id="{B0FD33D2-5637-4219-B8C0-827710057FD3}"/>
            </a:ext>
          </a:extLst>
        </xdr:cNvPr>
        <xdr:cNvCxnSpPr/>
      </xdr:nvCxnSpPr>
      <xdr:spPr>
        <a:xfrm>
          <a:off x="5718898" y="3263348"/>
          <a:ext cx="1649701" cy="3544956"/>
        </a:xfrm>
        <a:prstGeom prst="line">
          <a:avLst/>
        </a:prstGeom>
        <a:ln w="1270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1209749</xdr:colOff>
      <xdr:row>17</xdr:row>
      <xdr:rowOff>49695</xdr:rowOff>
    </xdr:from>
    <xdr:to>
      <xdr:col>9</xdr:col>
      <xdr:colOff>228990</xdr:colOff>
      <xdr:row>35</xdr:row>
      <xdr:rowOff>149087</xdr:rowOff>
    </xdr:to>
    <xdr:cxnSp macro="">
      <xdr:nvCxnSpPr>
        <xdr:cNvPr id="144" name="Straight Connector 143">
          <a:extLst>
            <a:ext uri="{FF2B5EF4-FFF2-40B4-BE49-F238E27FC236}">
              <a16:creationId xmlns:a16="http://schemas.microsoft.com/office/drawing/2014/main" id="{EE53EC46-60D3-430D-817B-FD8E9F2104B6}"/>
            </a:ext>
          </a:extLst>
        </xdr:cNvPr>
        <xdr:cNvCxnSpPr/>
      </xdr:nvCxnSpPr>
      <xdr:spPr>
        <a:xfrm>
          <a:off x="6431690" y="3288195"/>
          <a:ext cx="1641418" cy="3528392"/>
        </a:xfrm>
        <a:prstGeom prst="line">
          <a:avLst/>
        </a:prstGeom>
        <a:ln w="1270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853596</xdr:colOff>
      <xdr:row>17</xdr:row>
      <xdr:rowOff>24847</xdr:rowOff>
    </xdr:from>
    <xdr:to>
      <xdr:col>8</xdr:col>
      <xdr:colOff>1214620</xdr:colOff>
      <xdr:row>35</xdr:row>
      <xdr:rowOff>107674</xdr:rowOff>
    </xdr:to>
    <xdr:cxnSp macro="">
      <xdr:nvCxnSpPr>
        <xdr:cNvPr id="145" name="Straight Connector 144">
          <a:extLst>
            <a:ext uri="{FF2B5EF4-FFF2-40B4-BE49-F238E27FC236}">
              <a16:creationId xmlns:a16="http://schemas.microsoft.com/office/drawing/2014/main" id="{B78BA9A8-5838-43F0-B6D8-96DB0E2495C6}"/>
            </a:ext>
          </a:extLst>
        </xdr:cNvPr>
        <xdr:cNvCxnSpPr/>
      </xdr:nvCxnSpPr>
      <xdr:spPr>
        <a:xfrm>
          <a:off x="6075537" y="3263347"/>
          <a:ext cx="1649701" cy="3511827"/>
        </a:xfrm>
        <a:prstGeom prst="line">
          <a:avLst/>
        </a:prstGeom>
        <a:ln w="1270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310841</xdr:colOff>
      <xdr:row>17</xdr:row>
      <xdr:rowOff>33130</xdr:rowOff>
    </xdr:from>
    <xdr:to>
      <xdr:col>9</xdr:col>
      <xdr:colOff>602194</xdr:colOff>
      <xdr:row>35</xdr:row>
      <xdr:rowOff>173935</xdr:rowOff>
    </xdr:to>
    <xdr:cxnSp macro="">
      <xdr:nvCxnSpPr>
        <xdr:cNvPr id="146" name="Straight Connector 145">
          <a:extLst>
            <a:ext uri="{FF2B5EF4-FFF2-40B4-BE49-F238E27FC236}">
              <a16:creationId xmlns:a16="http://schemas.microsoft.com/office/drawing/2014/main" id="{5CD90FE0-83E7-4D74-B10A-1A81EE81D3ED}"/>
            </a:ext>
          </a:extLst>
        </xdr:cNvPr>
        <xdr:cNvCxnSpPr/>
      </xdr:nvCxnSpPr>
      <xdr:spPr>
        <a:xfrm>
          <a:off x="6821459" y="3271630"/>
          <a:ext cx="1624853" cy="3569805"/>
        </a:xfrm>
        <a:prstGeom prst="line">
          <a:avLst/>
        </a:prstGeom>
        <a:ln w="1270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397151</xdr:colOff>
      <xdr:row>19</xdr:row>
      <xdr:rowOff>6463</xdr:rowOff>
    </xdr:from>
    <xdr:to>
      <xdr:col>10</xdr:col>
      <xdr:colOff>860267</xdr:colOff>
      <xdr:row>19</xdr:row>
      <xdr:rowOff>6463</xdr:rowOff>
    </xdr:to>
    <xdr:cxnSp macro="">
      <xdr:nvCxnSpPr>
        <xdr:cNvPr id="151" name="Straight Connector 150">
          <a:extLst>
            <a:ext uri="{FF2B5EF4-FFF2-40B4-BE49-F238E27FC236}">
              <a16:creationId xmlns:a16="http://schemas.microsoft.com/office/drawing/2014/main" id="{6E2C81E2-160A-4BFE-AFB6-F0C48B522883}"/>
            </a:ext>
          </a:extLst>
        </xdr:cNvPr>
        <xdr:cNvCxnSpPr/>
      </xdr:nvCxnSpPr>
      <xdr:spPr>
        <a:xfrm>
          <a:off x="5619092" y="3625963"/>
          <a:ext cx="3690410" cy="0"/>
        </a:xfrm>
        <a:prstGeom prst="line">
          <a:avLst/>
        </a:prstGeom>
        <a:ln w="1270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314325</xdr:colOff>
      <xdr:row>20</xdr:row>
      <xdr:rowOff>147267</xdr:rowOff>
    </xdr:from>
    <xdr:to>
      <xdr:col>10</xdr:col>
      <xdr:colOff>777441</xdr:colOff>
      <xdr:row>20</xdr:row>
      <xdr:rowOff>147267</xdr:rowOff>
    </xdr:to>
    <xdr:cxnSp macro="">
      <xdr:nvCxnSpPr>
        <xdr:cNvPr id="152" name="Straight Connector 151">
          <a:extLst>
            <a:ext uri="{FF2B5EF4-FFF2-40B4-BE49-F238E27FC236}">
              <a16:creationId xmlns:a16="http://schemas.microsoft.com/office/drawing/2014/main" id="{2713BB98-38CC-4A83-9945-D9C8BEC0500D}"/>
            </a:ext>
          </a:extLst>
        </xdr:cNvPr>
        <xdr:cNvCxnSpPr/>
      </xdr:nvCxnSpPr>
      <xdr:spPr>
        <a:xfrm>
          <a:off x="5536266" y="3957267"/>
          <a:ext cx="3690410" cy="0"/>
        </a:xfrm>
        <a:prstGeom prst="line">
          <a:avLst/>
        </a:prstGeom>
        <a:ln w="1270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198368</xdr:colOff>
      <xdr:row>22</xdr:row>
      <xdr:rowOff>172115</xdr:rowOff>
    </xdr:from>
    <xdr:to>
      <xdr:col>10</xdr:col>
      <xdr:colOff>661484</xdr:colOff>
      <xdr:row>22</xdr:row>
      <xdr:rowOff>172115</xdr:rowOff>
    </xdr:to>
    <xdr:cxnSp macro="">
      <xdr:nvCxnSpPr>
        <xdr:cNvPr id="153" name="Straight Connector 152">
          <a:extLst>
            <a:ext uri="{FF2B5EF4-FFF2-40B4-BE49-F238E27FC236}">
              <a16:creationId xmlns:a16="http://schemas.microsoft.com/office/drawing/2014/main" id="{B2614770-00C0-4B48-84F9-939D10A6A7B6}"/>
            </a:ext>
          </a:extLst>
        </xdr:cNvPr>
        <xdr:cNvCxnSpPr/>
      </xdr:nvCxnSpPr>
      <xdr:spPr>
        <a:xfrm>
          <a:off x="5420309" y="4363115"/>
          <a:ext cx="3690410" cy="0"/>
        </a:xfrm>
        <a:prstGeom prst="line">
          <a:avLst/>
        </a:prstGeom>
        <a:ln w="1270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248064</xdr:colOff>
      <xdr:row>33</xdr:row>
      <xdr:rowOff>172115</xdr:rowOff>
    </xdr:from>
    <xdr:to>
      <xdr:col>10</xdr:col>
      <xdr:colOff>106062</xdr:colOff>
      <xdr:row>33</xdr:row>
      <xdr:rowOff>172115</xdr:rowOff>
    </xdr:to>
    <xdr:cxnSp macro="">
      <xdr:nvCxnSpPr>
        <xdr:cNvPr id="154" name="Straight Connector 153">
          <a:extLst>
            <a:ext uri="{FF2B5EF4-FFF2-40B4-BE49-F238E27FC236}">
              <a16:creationId xmlns:a16="http://schemas.microsoft.com/office/drawing/2014/main" id="{D3AD3380-AE36-4E32-BA31-C3319A03E969}"/>
            </a:ext>
          </a:extLst>
        </xdr:cNvPr>
        <xdr:cNvCxnSpPr/>
      </xdr:nvCxnSpPr>
      <xdr:spPr>
        <a:xfrm>
          <a:off x="4864888" y="6458615"/>
          <a:ext cx="3690409" cy="0"/>
        </a:xfrm>
        <a:prstGeom prst="line">
          <a:avLst/>
        </a:prstGeom>
        <a:ln w="1270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347455</xdr:colOff>
      <xdr:row>31</xdr:row>
      <xdr:rowOff>172115</xdr:rowOff>
    </xdr:from>
    <xdr:to>
      <xdr:col>10</xdr:col>
      <xdr:colOff>205453</xdr:colOff>
      <xdr:row>31</xdr:row>
      <xdr:rowOff>172115</xdr:rowOff>
    </xdr:to>
    <xdr:cxnSp macro="">
      <xdr:nvCxnSpPr>
        <xdr:cNvPr id="155" name="Straight Connector 154">
          <a:extLst>
            <a:ext uri="{FF2B5EF4-FFF2-40B4-BE49-F238E27FC236}">
              <a16:creationId xmlns:a16="http://schemas.microsoft.com/office/drawing/2014/main" id="{85A5B9E1-791C-4ED2-ADE7-BE7FEA4AEF3F}"/>
            </a:ext>
          </a:extLst>
        </xdr:cNvPr>
        <xdr:cNvCxnSpPr/>
      </xdr:nvCxnSpPr>
      <xdr:spPr>
        <a:xfrm>
          <a:off x="4964279" y="6077615"/>
          <a:ext cx="3690409" cy="0"/>
        </a:xfrm>
        <a:prstGeom prst="line">
          <a:avLst/>
        </a:prstGeom>
        <a:ln w="1270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455129</xdr:colOff>
      <xdr:row>29</xdr:row>
      <xdr:rowOff>188680</xdr:rowOff>
    </xdr:from>
    <xdr:to>
      <xdr:col>10</xdr:col>
      <xdr:colOff>313127</xdr:colOff>
      <xdr:row>29</xdr:row>
      <xdr:rowOff>188680</xdr:rowOff>
    </xdr:to>
    <xdr:cxnSp macro="">
      <xdr:nvCxnSpPr>
        <xdr:cNvPr id="156" name="Straight Connector 155">
          <a:extLst>
            <a:ext uri="{FF2B5EF4-FFF2-40B4-BE49-F238E27FC236}">
              <a16:creationId xmlns:a16="http://schemas.microsoft.com/office/drawing/2014/main" id="{D3F37A2F-1A80-439B-9E96-91E2145A8B4A}"/>
            </a:ext>
          </a:extLst>
        </xdr:cNvPr>
        <xdr:cNvCxnSpPr/>
      </xdr:nvCxnSpPr>
      <xdr:spPr>
        <a:xfrm>
          <a:off x="5071953" y="5713180"/>
          <a:ext cx="3690409" cy="0"/>
        </a:xfrm>
        <a:prstGeom prst="line">
          <a:avLst/>
        </a:prstGeom>
        <a:ln w="1270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604876</xdr:colOff>
      <xdr:row>16</xdr:row>
      <xdr:rowOff>162634</xdr:rowOff>
    </xdr:from>
    <xdr:to>
      <xdr:col>6</xdr:col>
      <xdr:colOff>604876</xdr:colOff>
      <xdr:row>36</xdr:row>
      <xdr:rowOff>78634</xdr:rowOff>
    </xdr:to>
    <xdr:cxnSp macro="">
      <xdr:nvCxnSpPr>
        <xdr:cNvPr id="157" name="Straight Connector 156">
          <a:extLst>
            <a:ext uri="{FF2B5EF4-FFF2-40B4-BE49-F238E27FC236}">
              <a16:creationId xmlns:a16="http://schemas.microsoft.com/office/drawing/2014/main" id="{6A7C9F7A-8FB9-4A07-A86B-94E56BB6AD79}"/>
            </a:ext>
          </a:extLst>
        </xdr:cNvPr>
        <xdr:cNvCxnSpPr/>
      </xdr:nvCxnSpPr>
      <xdr:spPr>
        <a:xfrm rot="6300000">
          <a:off x="3358700" y="5073634"/>
          <a:ext cx="3726000" cy="0"/>
        </a:xfrm>
        <a:prstGeom prst="line">
          <a:avLst/>
        </a:prstGeom>
        <a:ln w="38100">
          <a:solidFill>
            <a:srgbClr val="FF45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1273553</xdr:colOff>
      <xdr:row>17</xdr:row>
      <xdr:rowOff>19049</xdr:rowOff>
    </xdr:from>
    <xdr:to>
      <xdr:col>9</xdr:col>
      <xdr:colOff>488273</xdr:colOff>
      <xdr:row>27</xdr:row>
      <xdr:rowOff>189130</xdr:rowOff>
    </xdr:to>
    <xdr:cxnSp macro="">
      <xdr:nvCxnSpPr>
        <xdr:cNvPr id="158" name="Straight Connector 157">
          <a:extLst>
            <a:ext uri="{FF2B5EF4-FFF2-40B4-BE49-F238E27FC236}">
              <a16:creationId xmlns:a16="http://schemas.microsoft.com/office/drawing/2014/main" id="{B8DE26D1-6FDD-4F07-807F-3E1062F5CECB}"/>
            </a:ext>
          </a:extLst>
        </xdr:cNvPr>
        <xdr:cNvCxnSpPr/>
      </xdr:nvCxnSpPr>
      <xdr:spPr>
        <a:xfrm flipH="1">
          <a:off x="7784171" y="3257549"/>
          <a:ext cx="548220" cy="2075081"/>
        </a:xfrm>
        <a:prstGeom prst="line">
          <a:avLst/>
        </a:prstGeom>
        <a:ln w="38100">
          <a:solidFill>
            <a:srgbClr val="FF45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104751</xdr:colOff>
      <xdr:row>17</xdr:row>
      <xdr:rowOff>2484</xdr:rowOff>
    </xdr:from>
    <xdr:to>
      <xdr:col>10</xdr:col>
      <xdr:colOff>247591</xdr:colOff>
      <xdr:row>31</xdr:row>
      <xdr:rowOff>155993</xdr:rowOff>
    </xdr:to>
    <xdr:cxnSp macro="">
      <xdr:nvCxnSpPr>
        <xdr:cNvPr id="159" name="Straight Connector 158">
          <a:extLst>
            <a:ext uri="{FF2B5EF4-FFF2-40B4-BE49-F238E27FC236}">
              <a16:creationId xmlns:a16="http://schemas.microsoft.com/office/drawing/2014/main" id="{AEAE38F9-16DC-4721-A568-C2CE78EAE749}"/>
            </a:ext>
          </a:extLst>
        </xdr:cNvPr>
        <xdr:cNvCxnSpPr/>
      </xdr:nvCxnSpPr>
      <xdr:spPr>
        <a:xfrm flipH="1">
          <a:off x="7948869" y="3240984"/>
          <a:ext cx="747957" cy="2820509"/>
        </a:xfrm>
        <a:prstGeom prst="line">
          <a:avLst/>
        </a:prstGeom>
        <a:ln w="38100">
          <a:solidFill>
            <a:srgbClr val="FF45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302558</xdr:colOff>
      <xdr:row>17</xdr:row>
      <xdr:rowOff>24848</xdr:rowOff>
    </xdr:from>
    <xdr:to>
      <xdr:col>8</xdr:col>
      <xdr:colOff>1264316</xdr:colOff>
      <xdr:row>28</xdr:row>
      <xdr:rowOff>41413</xdr:rowOff>
    </xdr:to>
    <xdr:cxnSp macro="">
      <xdr:nvCxnSpPr>
        <xdr:cNvPr id="162" name="Straight Connector 161">
          <a:extLst>
            <a:ext uri="{FF2B5EF4-FFF2-40B4-BE49-F238E27FC236}">
              <a16:creationId xmlns:a16="http://schemas.microsoft.com/office/drawing/2014/main" id="{8618C434-9555-4940-AA98-85EF2633774C}"/>
            </a:ext>
          </a:extLst>
        </xdr:cNvPr>
        <xdr:cNvCxnSpPr/>
      </xdr:nvCxnSpPr>
      <xdr:spPr>
        <a:xfrm>
          <a:off x="6813176" y="3263348"/>
          <a:ext cx="961758" cy="2112065"/>
        </a:xfrm>
        <a:prstGeom prst="line">
          <a:avLst/>
        </a:prstGeom>
        <a:ln w="38100">
          <a:solidFill>
            <a:srgbClr val="FF45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490746</xdr:colOff>
      <xdr:row>17</xdr:row>
      <xdr:rowOff>11596</xdr:rowOff>
    </xdr:from>
    <xdr:to>
      <xdr:col>8</xdr:col>
      <xdr:colOff>310841</xdr:colOff>
      <xdr:row>17</xdr:row>
      <xdr:rowOff>11596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C41529D4-4EC7-4AD3-8F58-F182148F0008}"/>
            </a:ext>
          </a:extLst>
        </xdr:cNvPr>
        <xdr:cNvCxnSpPr/>
      </xdr:nvCxnSpPr>
      <xdr:spPr>
        <a:xfrm>
          <a:off x="5712687" y="3250096"/>
          <a:ext cx="1108772" cy="0"/>
        </a:xfrm>
        <a:prstGeom prst="line">
          <a:avLst/>
        </a:prstGeom>
        <a:ln w="38100">
          <a:solidFill>
            <a:srgbClr val="FF4500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75550</xdr:colOff>
      <xdr:row>19</xdr:row>
      <xdr:rowOff>0</xdr:rowOff>
    </xdr:from>
    <xdr:to>
      <xdr:col>8</xdr:col>
      <xdr:colOff>1186785</xdr:colOff>
      <xdr:row>31</xdr:row>
      <xdr:rowOff>149087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D884391F-E61A-4C1D-92CA-2FD9BFAFF4A0}"/>
            </a:ext>
          </a:extLst>
        </xdr:cNvPr>
        <xdr:cNvCxnSpPr/>
      </xdr:nvCxnSpPr>
      <xdr:spPr>
        <a:xfrm>
          <a:off x="6586168" y="3619500"/>
          <a:ext cx="1111235" cy="2435087"/>
        </a:xfrm>
        <a:prstGeom prst="line">
          <a:avLst/>
        </a:prstGeom>
        <a:ln w="38100">
          <a:solidFill>
            <a:srgbClr val="FF45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747995</xdr:colOff>
      <xdr:row>19</xdr:row>
      <xdr:rowOff>11596</xdr:rowOff>
    </xdr:from>
    <xdr:to>
      <xdr:col>8</xdr:col>
      <xdr:colOff>78928</xdr:colOff>
      <xdr:row>19</xdr:row>
      <xdr:rowOff>11596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54838D32-B9B2-45A1-A8CB-0C3A2ABE1527}"/>
            </a:ext>
          </a:extLst>
        </xdr:cNvPr>
        <xdr:cNvCxnSpPr/>
      </xdr:nvCxnSpPr>
      <xdr:spPr>
        <a:xfrm>
          <a:off x="5969936" y="3631096"/>
          <a:ext cx="619610" cy="0"/>
        </a:xfrm>
        <a:prstGeom prst="line">
          <a:avLst/>
        </a:prstGeom>
        <a:ln w="38100">
          <a:solidFill>
            <a:srgbClr val="FF4500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511362</xdr:colOff>
      <xdr:row>19</xdr:row>
      <xdr:rowOff>10766</xdr:rowOff>
    </xdr:from>
    <xdr:to>
      <xdr:col>7</xdr:col>
      <xdr:colOff>747956</xdr:colOff>
      <xdr:row>35</xdr:row>
      <xdr:rowOff>162259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DBDB7F25-415F-4DB8-9BE3-F883080D6BAD}"/>
            </a:ext>
          </a:extLst>
        </xdr:cNvPr>
        <xdr:cNvCxnSpPr/>
      </xdr:nvCxnSpPr>
      <xdr:spPr>
        <a:xfrm flipH="1">
          <a:off x="5128186" y="3630266"/>
          <a:ext cx="841711" cy="3199493"/>
        </a:xfrm>
        <a:prstGeom prst="line">
          <a:avLst/>
        </a:prstGeom>
        <a:ln w="38100">
          <a:solidFill>
            <a:srgbClr val="FF45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1189806</xdr:colOff>
      <xdr:row>20</xdr:row>
      <xdr:rowOff>140804</xdr:rowOff>
    </xdr:from>
    <xdr:to>
      <xdr:col>8</xdr:col>
      <xdr:colOff>1050690</xdr:colOff>
      <xdr:row>33</xdr:row>
      <xdr:rowOff>182217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9F480313-9F5E-44B5-8175-A88C7310BF4E}"/>
            </a:ext>
          </a:extLst>
        </xdr:cNvPr>
        <xdr:cNvCxnSpPr/>
      </xdr:nvCxnSpPr>
      <xdr:spPr>
        <a:xfrm>
          <a:off x="6411747" y="3950804"/>
          <a:ext cx="1149561" cy="2517913"/>
        </a:xfrm>
        <a:prstGeom prst="line">
          <a:avLst/>
        </a:prstGeom>
        <a:ln w="38100">
          <a:solidFill>
            <a:srgbClr val="008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1198088</xdr:colOff>
      <xdr:row>25</xdr:row>
      <xdr:rowOff>8282</xdr:rowOff>
    </xdr:from>
    <xdr:to>
      <xdr:col>8</xdr:col>
      <xdr:colOff>840506</xdr:colOff>
      <xdr:row>35</xdr:row>
      <xdr:rowOff>149087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77E787D7-DAFB-4A8A-A0F5-C3DCEC866F99}"/>
            </a:ext>
          </a:extLst>
        </xdr:cNvPr>
        <xdr:cNvCxnSpPr/>
      </xdr:nvCxnSpPr>
      <xdr:spPr>
        <a:xfrm>
          <a:off x="6420029" y="4770782"/>
          <a:ext cx="931095" cy="2045805"/>
        </a:xfrm>
        <a:prstGeom prst="line">
          <a:avLst/>
        </a:prstGeom>
        <a:ln w="38100">
          <a:solidFill>
            <a:srgbClr val="008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860053</xdr:colOff>
      <xdr:row>35</xdr:row>
      <xdr:rowOff>160683</xdr:rowOff>
    </xdr:from>
    <xdr:to>
      <xdr:col>9</xdr:col>
      <xdr:colOff>593911</xdr:colOff>
      <xdr:row>35</xdr:row>
      <xdr:rowOff>160683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D579849C-020A-48E4-ABFB-CA7A2367CE37}"/>
            </a:ext>
          </a:extLst>
        </xdr:cNvPr>
        <xdr:cNvCxnSpPr/>
      </xdr:nvCxnSpPr>
      <xdr:spPr>
        <a:xfrm>
          <a:off x="7370671" y="6828183"/>
          <a:ext cx="1067358" cy="0"/>
        </a:xfrm>
        <a:prstGeom prst="line">
          <a:avLst/>
        </a:prstGeom>
        <a:ln w="28575">
          <a:solidFill>
            <a:srgbClr val="008000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585629</xdr:colOff>
      <xdr:row>17</xdr:row>
      <xdr:rowOff>16565</xdr:rowOff>
    </xdr:from>
    <xdr:to>
      <xdr:col>10</xdr:col>
      <xdr:colOff>925218</xdr:colOff>
      <xdr:row>35</xdr:row>
      <xdr:rowOff>173935</xdr:rowOff>
    </xdr:to>
    <xdr:cxnSp macro="">
      <xdr:nvCxnSpPr>
        <xdr:cNvPr id="180" name="Straight Connector 179">
          <a:extLst>
            <a:ext uri="{FF2B5EF4-FFF2-40B4-BE49-F238E27FC236}">
              <a16:creationId xmlns:a16="http://schemas.microsoft.com/office/drawing/2014/main" id="{5BF20E68-7802-41E1-84FD-C2329344C0E2}"/>
            </a:ext>
          </a:extLst>
        </xdr:cNvPr>
        <xdr:cNvCxnSpPr/>
      </xdr:nvCxnSpPr>
      <xdr:spPr>
        <a:xfrm flipH="1">
          <a:off x="8429747" y="3255065"/>
          <a:ext cx="944706" cy="3586370"/>
        </a:xfrm>
        <a:prstGeom prst="line">
          <a:avLst/>
        </a:prstGeom>
        <a:ln w="38100">
          <a:solidFill>
            <a:srgbClr val="008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352828</xdr:colOff>
      <xdr:row>17</xdr:row>
      <xdr:rowOff>8283</xdr:rowOff>
    </xdr:from>
    <xdr:to>
      <xdr:col>10</xdr:col>
      <xdr:colOff>585632</xdr:colOff>
      <xdr:row>33</xdr:row>
      <xdr:rowOff>173935</xdr:rowOff>
    </xdr:to>
    <xdr:cxnSp macro="">
      <xdr:nvCxnSpPr>
        <xdr:cNvPr id="183" name="Straight Connector 182">
          <a:extLst>
            <a:ext uri="{FF2B5EF4-FFF2-40B4-BE49-F238E27FC236}">
              <a16:creationId xmlns:a16="http://schemas.microsoft.com/office/drawing/2014/main" id="{574DDB7A-35C9-4198-BC06-5ADAF27D6923}"/>
            </a:ext>
          </a:extLst>
        </xdr:cNvPr>
        <xdr:cNvCxnSpPr/>
      </xdr:nvCxnSpPr>
      <xdr:spPr>
        <a:xfrm flipH="1">
          <a:off x="8196946" y="3246783"/>
          <a:ext cx="837921" cy="3213652"/>
        </a:xfrm>
        <a:prstGeom prst="line">
          <a:avLst/>
        </a:prstGeom>
        <a:ln w="38100">
          <a:solidFill>
            <a:srgbClr val="008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1075400</xdr:colOff>
      <xdr:row>33</xdr:row>
      <xdr:rowOff>177248</xdr:rowOff>
    </xdr:from>
    <xdr:to>
      <xdr:col>9</xdr:col>
      <xdr:colOff>369794</xdr:colOff>
      <xdr:row>33</xdr:row>
      <xdr:rowOff>177248</xdr:rowOff>
    </xdr:to>
    <xdr:cxnSp macro="">
      <xdr:nvCxnSpPr>
        <xdr:cNvPr id="187" name="Straight Connector 186">
          <a:extLst>
            <a:ext uri="{FF2B5EF4-FFF2-40B4-BE49-F238E27FC236}">
              <a16:creationId xmlns:a16="http://schemas.microsoft.com/office/drawing/2014/main" id="{0127081F-5FF6-4650-91FA-996575F62B8C}"/>
            </a:ext>
          </a:extLst>
        </xdr:cNvPr>
        <xdr:cNvCxnSpPr/>
      </xdr:nvCxnSpPr>
      <xdr:spPr>
        <a:xfrm>
          <a:off x="7586018" y="6463748"/>
          <a:ext cx="627894" cy="0"/>
        </a:xfrm>
        <a:prstGeom prst="line">
          <a:avLst/>
        </a:prstGeom>
        <a:ln w="38100">
          <a:solidFill>
            <a:srgbClr val="008000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1208409</xdr:colOff>
      <xdr:row>31</xdr:row>
      <xdr:rowOff>177248</xdr:rowOff>
    </xdr:from>
    <xdr:to>
      <xdr:col>9</xdr:col>
      <xdr:colOff>104751</xdr:colOff>
      <xdr:row>31</xdr:row>
      <xdr:rowOff>177248</xdr:rowOff>
    </xdr:to>
    <xdr:cxnSp macro="">
      <xdr:nvCxnSpPr>
        <xdr:cNvPr id="189" name="Straight Connector 188">
          <a:extLst>
            <a:ext uri="{FF2B5EF4-FFF2-40B4-BE49-F238E27FC236}">
              <a16:creationId xmlns:a16="http://schemas.microsoft.com/office/drawing/2014/main" id="{A21D980E-E35A-410A-BCB0-6ED1A6BA5957}"/>
            </a:ext>
          </a:extLst>
        </xdr:cNvPr>
        <xdr:cNvCxnSpPr/>
      </xdr:nvCxnSpPr>
      <xdr:spPr>
        <a:xfrm>
          <a:off x="7719027" y="6082748"/>
          <a:ext cx="229842" cy="0"/>
        </a:xfrm>
        <a:prstGeom prst="line">
          <a:avLst/>
        </a:prstGeom>
        <a:ln w="38100">
          <a:solidFill>
            <a:srgbClr val="FF4500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267115</xdr:colOff>
      <xdr:row>35</xdr:row>
      <xdr:rowOff>160683</xdr:rowOff>
    </xdr:from>
    <xdr:to>
      <xdr:col>7</xdr:col>
      <xdr:colOff>646531</xdr:colOff>
      <xdr:row>35</xdr:row>
      <xdr:rowOff>160683</xdr:rowOff>
    </xdr:to>
    <xdr:cxnSp macro="">
      <xdr:nvCxnSpPr>
        <xdr:cNvPr id="191" name="Straight Connector 190">
          <a:extLst>
            <a:ext uri="{FF2B5EF4-FFF2-40B4-BE49-F238E27FC236}">
              <a16:creationId xmlns:a16="http://schemas.microsoft.com/office/drawing/2014/main" id="{C452AC42-5E6A-47DD-93B9-4C739D15EB8B}"/>
            </a:ext>
          </a:extLst>
        </xdr:cNvPr>
        <xdr:cNvCxnSpPr/>
      </xdr:nvCxnSpPr>
      <xdr:spPr>
        <a:xfrm>
          <a:off x="5489056" y="6828183"/>
          <a:ext cx="379416" cy="0"/>
        </a:xfrm>
        <a:prstGeom prst="line">
          <a:avLst/>
        </a:prstGeom>
        <a:ln w="38100">
          <a:solidFill>
            <a:srgbClr val="008000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571136</xdr:colOff>
      <xdr:row>17</xdr:row>
      <xdr:rowOff>3313</xdr:rowOff>
    </xdr:from>
    <xdr:to>
      <xdr:col>10</xdr:col>
      <xdr:colOff>958347</xdr:colOff>
      <xdr:row>17</xdr:row>
      <xdr:rowOff>3313</xdr:rowOff>
    </xdr:to>
    <xdr:cxnSp macro="">
      <xdr:nvCxnSpPr>
        <xdr:cNvPr id="193" name="Straight Connector 192">
          <a:extLst>
            <a:ext uri="{FF2B5EF4-FFF2-40B4-BE49-F238E27FC236}">
              <a16:creationId xmlns:a16="http://schemas.microsoft.com/office/drawing/2014/main" id="{1075AB73-FC83-417B-89E0-C654E108A1EF}"/>
            </a:ext>
          </a:extLst>
        </xdr:cNvPr>
        <xdr:cNvCxnSpPr/>
      </xdr:nvCxnSpPr>
      <xdr:spPr>
        <a:xfrm>
          <a:off x="9020371" y="3241813"/>
          <a:ext cx="387211" cy="0"/>
        </a:xfrm>
        <a:prstGeom prst="line">
          <a:avLst/>
        </a:prstGeom>
        <a:ln w="38100">
          <a:solidFill>
            <a:srgbClr val="008000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471744</xdr:colOff>
      <xdr:row>17</xdr:row>
      <xdr:rowOff>3313</xdr:rowOff>
    </xdr:from>
    <xdr:to>
      <xdr:col>10</xdr:col>
      <xdr:colOff>262120</xdr:colOff>
      <xdr:row>17</xdr:row>
      <xdr:rowOff>3313</xdr:rowOff>
    </xdr:to>
    <xdr:cxnSp macro="">
      <xdr:nvCxnSpPr>
        <xdr:cNvPr id="194" name="Straight Connector 193">
          <a:extLst>
            <a:ext uri="{FF2B5EF4-FFF2-40B4-BE49-F238E27FC236}">
              <a16:creationId xmlns:a16="http://schemas.microsoft.com/office/drawing/2014/main" id="{BD6BEC6C-5113-43EA-B15C-0C9D8FADF98C}"/>
            </a:ext>
          </a:extLst>
        </xdr:cNvPr>
        <xdr:cNvCxnSpPr/>
      </xdr:nvCxnSpPr>
      <xdr:spPr>
        <a:xfrm>
          <a:off x="8315862" y="3241813"/>
          <a:ext cx="395493" cy="0"/>
        </a:xfrm>
        <a:prstGeom prst="line">
          <a:avLst/>
        </a:prstGeom>
        <a:ln w="38100">
          <a:solidFill>
            <a:srgbClr val="FF4500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281208</xdr:colOff>
      <xdr:row>20</xdr:row>
      <xdr:rowOff>132522</xdr:rowOff>
    </xdr:from>
    <xdr:to>
      <xdr:col>7</xdr:col>
      <xdr:colOff>1030135</xdr:colOff>
      <xdr:row>35</xdr:row>
      <xdr:rowOff>124239</xdr:rowOff>
    </xdr:to>
    <xdr:cxnSp macro="">
      <xdr:nvCxnSpPr>
        <xdr:cNvPr id="196" name="Straight Connector 195">
          <a:extLst>
            <a:ext uri="{FF2B5EF4-FFF2-40B4-BE49-F238E27FC236}">
              <a16:creationId xmlns:a16="http://schemas.microsoft.com/office/drawing/2014/main" id="{75C79091-1B9E-48D6-9456-CFCF8441F2A9}"/>
            </a:ext>
          </a:extLst>
        </xdr:cNvPr>
        <xdr:cNvCxnSpPr/>
      </xdr:nvCxnSpPr>
      <xdr:spPr>
        <a:xfrm flipH="1">
          <a:off x="5503149" y="3942522"/>
          <a:ext cx="748927" cy="2849217"/>
        </a:xfrm>
        <a:prstGeom prst="line">
          <a:avLst/>
        </a:prstGeom>
        <a:ln w="38100">
          <a:solidFill>
            <a:srgbClr val="008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1046168</xdr:colOff>
      <xdr:row>20</xdr:row>
      <xdr:rowOff>152401</xdr:rowOff>
    </xdr:from>
    <xdr:to>
      <xdr:col>7</xdr:col>
      <xdr:colOff>1226800</xdr:colOff>
      <xdr:row>20</xdr:row>
      <xdr:rowOff>152401</xdr:rowOff>
    </xdr:to>
    <xdr:cxnSp macro="">
      <xdr:nvCxnSpPr>
        <xdr:cNvPr id="198" name="Straight Connector 197">
          <a:extLst>
            <a:ext uri="{FF2B5EF4-FFF2-40B4-BE49-F238E27FC236}">
              <a16:creationId xmlns:a16="http://schemas.microsoft.com/office/drawing/2014/main" id="{606B5802-22E2-47BC-87A6-A4C27B0C2F9D}"/>
            </a:ext>
          </a:extLst>
        </xdr:cNvPr>
        <xdr:cNvCxnSpPr/>
      </xdr:nvCxnSpPr>
      <xdr:spPr>
        <a:xfrm>
          <a:off x="6268109" y="3962401"/>
          <a:ext cx="180632" cy="0"/>
        </a:xfrm>
        <a:prstGeom prst="line">
          <a:avLst/>
        </a:prstGeom>
        <a:ln w="38100">
          <a:solidFill>
            <a:srgbClr val="008000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650760</xdr:colOff>
      <xdr:row>25</xdr:row>
      <xdr:rowOff>33131</xdr:rowOff>
    </xdr:from>
    <xdr:to>
      <xdr:col>7</xdr:col>
      <xdr:colOff>1187505</xdr:colOff>
      <xdr:row>35</xdr:row>
      <xdr:rowOff>149087</xdr:rowOff>
    </xdr:to>
    <xdr:cxnSp macro="">
      <xdr:nvCxnSpPr>
        <xdr:cNvPr id="200" name="Straight Connector 199">
          <a:extLst>
            <a:ext uri="{FF2B5EF4-FFF2-40B4-BE49-F238E27FC236}">
              <a16:creationId xmlns:a16="http://schemas.microsoft.com/office/drawing/2014/main" id="{93F6FAE7-6358-41B1-BAEB-6EC40C9A5CB2}"/>
            </a:ext>
          </a:extLst>
        </xdr:cNvPr>
        <xdr:cNvCxnSpPr/>
      </xdr:nvCxnSpPr>
      <xdr:spPr>
        <a:xfrm flipH="1">
          <a:off x="5872701" y="4795631"/>
          <a:ext cx="536745" cy="2020956"/>
        </a:xfrm>
        <a:prstGeom prst="line">
          <a:avLst/>
        </a:prstGeom>
        <a:ln w="38100">
          <a:solidFill>
            <a:srgbClr val="008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118028</xdr:colOff>
      <xdr:row>35</xdr:row>
      <xdr:rowOff>160682</xdr:rowOff>
    </xdr:from>
    <xdr:to>
      <xdr:col>6</xdr:col>
      <xdr:colOff>513521</xdr:colOff>
      <xdr:row>35</xdr:row>
      <xdr:rowOff>160682</xdr:rowOff>
    </xdr:to>
    <xdr:cxnSp macro="">
      <xdr:nvCxnSpPr>
        <xdr:cNvPr id="202" name="Straight Connector 201">
          <a:extLst>
            <a:ext uri="{FF2B5EF4-FFF2-40B4-BE49-F238E27FC236}">
              <a16:creationId xmlns:a16="http://schemas.microsoft.com/office/drawing/2014/main" id="{1134AB5F-F113-4C4B-A698-409C3E22FB4B}"/>
            </a:ext>
          </a:extLst>
        </xdr:cNvPr>
        <xdr:cNvCxnSpPr/>
      </xdr:nvCxnSpPr>
      <xdr:spPr>
        <a:xfrm>
          <a:off x="4734852" y="6828182"/>
          <a:ext cx="395493" cy="0"/>
        </a:xfrm>
        <a:prstGeom prst="line">
          <a:avLst/>
        </a:prstGeom>
        <a:ln w="38100">
          <a:solidFill>
            <a:srgbClr val="FF4500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235324</xdr:colOff>
      <xdr:row>23</xdr:row>
      <xdr:rowOff>22411</xdr:rowOff>
    </xdr:from>
    <xdr:to>
      <xdr:col>20</xdr:col>
      <xdr:colOff>448235</xdr:colOff>
      <xdr:row>32</xdr:row>
      <xdr:rowOff>189091</xdr:rowOff>
    </xdr:to>
    <xdr:pic>
      <xdr:nvPicPr>
        <xdr:cNvPr id="237" name="Picture 236">
          <a:extLst>
            <a:ext uri="{FF2B5EF4-FFF2-40B4-BE49-F238E27FC236}">
              <a16:creationId xmlns:a16="http://schemas.microsoft.com/office/drawing/2014/main" id="{3A2D4B86-897D-4236-B59F-532CE3E7AE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79706" y="4403911"/>
          <a:ext cx="4448735" cy="1881180"/>
        </a:xfrm>
        <a:prstGeom prst="rect">
          <a:avLst/>
        </a:prstGeom>
      </xdr:spPr>
    </xdr:pic>
    <xdr:clientData/>
  </xdr:twoCellAnchor>
  <xdr:twoCellAnchor editAs="absolute">
    <xdr:from>
      <xdr:col>5</xdr:col>
      <xdr:colOff>1557618</xdr:colOff>
      <xdr:row>31</xdr:row>
      <xdr:rowOff>89647</xdr:rowOff>
    </xdr:from>
    <xdr:to>
      <xdr:col>6</xdr:col>
      <xdr:colOff>169720</xdr:colOff>
      <xdr:row>32</xdr:row>
      <xdr:rowOff>71374</xdr:rowOff>
    </xdr:to>
    <xdr:sp macro="" textlink="$G$62">
      <xdr:nvSpPr>
        <xdr:cNvPr id="147" name="TextBox 146">
          <a:extLst>
            <a:ext uri="{FF2B5EF4-FFF2-40B4-BE49-F238E27FC236}">
              <a16:creationId xmlns:a16="http://schemas.microsoft.com/office/drawing/2014/main" id="{4F3C6BD8-45E3-438B-A26D-EC5E02E98E85}"/>
            </a:ext>
          </a:extLst>
        </xdr:cNvPr>
        <xdr:cNvSpPr txBox="1"/>
      </xdr:nvSpPr>
      <xdr:spPr>
        <a:xfrm>
          <a:off x="4583206" y="5995147"/>
          <a:ext cx="203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01BC3A13-E935-4B32-810A-4D8B33CFDB79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16</a:t>
          </a:fld>
          <a:endParaRPr lang="en-US" sz="1100"/>
        </a:p>
      </xdr:txBody>
    </xdr:sp>
    <xdr:clientData/>
  </xdr:twoCellAnchor>
  <xdr:twoCellAnchor editAs="absolute">
    <xdr:from>
      <xdr:col>5</xdr:col>
      <xdr:colOff>860122</xdr:colOff>
      <xdr:row>36</xdr:row>
      <xdr:rowOff>1730</xdr:rowOff>
    </xdr:from>
    <xdr:to>
      <xdr:col>5</xdr:col>
      <xdr:colOff>1063460</xdr:colOff>
      <xdr:row>36</xdr:row>
      <xdr:rowOff>173957</xdr:rowOff>
    </xdr:to>
    <xdr:sp macro="" textlink="$G$64">
      <xdr:nvSpPr>
        <xdr:cNvPr id="148" name="TextBox 147">
          <a:extLst>
            <a:ext uri="{FF2B5EF4-FFF2-40B4-BE49-F238E27FC236}">
              <a16:creationId xmlns:a16="http://schemas.microsoft.com/office/drawing/2014/main" id="{1EDFF2F1-BA3D-47F2-997E-27E86BE7E63E}"/>
            </a:ext>
          </a:extLst>
        </xdr:cNvPr>
        <xdr:cNvSpPr txBox="1"/>
      </xdr:nvSpPr>
      <xdr:spPr>
        <a:xfrm>
          <a:off x="3885710" y="6859730"/>
          <a:ext cx="203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EB2074A2-2CAE-4D8A-91D6-541FDBF1C8E3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18</a:t>
          </a:fld>
          <a:endParaRPr lang="en-US" sz="1100"/>
        </a:p>
      </xdr:txBody>
    </xdr:sp>
    <xdr:clientData/>
  </xdr:twoCellAnchor>
  <xdr:twoCellAnchor editAs="absolute">
    <xdr:from>
      <xdr:col>6</xdr:col>
      <xdr:colOff>255004</xdr:colOff>
      <xdr:row>15</xdr:row>
      <xdr:rowOff>169818</xdr:rowOff>
    </xdr:from>
    <xdr:to>
      <xdr:col>6</xdr:col>
      <xdr:colOff>458342</xdr:colOff>
      <xdr:row>16</xdr:row>
      <xdr:rowOff>151545</xdr:rowOff>
    </xdr:to>
    <xdr:sp macro="" textlink="$G$67">
      <xdr:nvSpPr>
        <xdr:cNvPr id="149" name="TextBox 148">
          <a:extLst>
            <a:ext uri="{FF2B5EF4-FFF2-40B4-BE49-F238E27FC236}">
              <a16:creationId xmlns:a16="http://schemas.microsoft.com/office/drawing/2014/main" id="{C88C1758-9C67-42BB-A881-A8AFE221C9FC}"/>
            </a:ext>
          </a:extLst>
        </xdr:cNvPr>
        <xdr:cNvSpPr txBox="1"/>
      </xdr:nvSpPr>
      <xdr:spPr>
        <a:xfrm>
          <a:off x="4871828" y="3027318"/>
          <a:ext cx="203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65B5ADAF-C947-4293-930C-67656680E00C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21</a:t>
          </a:fld>
          <a:endParaRPr lang="en-US" sz="1100"/>
        </a:p>
      </xdr:txBody>
    </xdr:sp>
    <xdr:clientData/>
  </xdr:twoCellAnchor>
  <xdr:twoCellAnchor editAs="absolute">
    <xdr:from>
      <xdr:col>5</xdr:col>
      <xdr:colOff>1420416</xdr:colOff>
      <xdr:row>15</xdr:row>
      <xdr:rowOff>113789</xdr:rowOff>
    </xdr:from>
    <xdr:to>
      <xdr:col>6</xdr:col>
      <xdr:colOff>32518</xdr:colOff>
      <xdr:row>16</xdr:row>
      <xdr:rowOff>95516</xdr:rowOff>
    </xdr:to>
    <xdr:sp macro="" textlink="$G$68">
      <xdr:nvSpPr>
        <xdr:cNvPr id="150" name="TextBox 149">
          <a:extLst>
            <a:ext uri="{FF2B5EF4-FFF2-40B4-BE49-F238E27FC236}">
              <a16:creationId xmlns:a16="http://schemas.microsoft.com/office/drawing/2014/main" id="{3D02D680-45B1-4465-94B0-73D330E0FA76}"/>
            </a:ext>
          </a:extLst>
        </xdr:cNvPr>
        <xdr:cNvSpPr txBox="1"/>
      </xdr:nvSpPr>
      <xdr:spPr>
        <a:xfrm>
          <a:off x="4446004" y="2971289"/>
          <a:ext cx="203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FFEA5FF8-3B0E-4DEA-A892-8482B11BBF17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22</a:t>
          </a:fld>
          <a:endParaRPr lang="en-US" sz="1100"/>
        </a:p>
      </xdr:txBody>
    </xdr:sp>
    <xdr:clientData/>
  </xdr:twoCellAnchor>
  <xdr:twoCellAnchor editAs="absolute">
    <xdr:from>
      <xdr:col>5</xdr:col>
      <xdr:colOff>792886</xdr:colOff>
      <xdr:row>30</xdr:row>
      <xdr:rowOff>57760</xdr:rowOff>
    </xdr:from>
    <xdr:to>
      <xdr:col>5</xdr:col>
      <xdr:colOff>996224</xdr:colOff>
      <xdr:row>31</xdr:row>
      <xdr:rowOff>39487</xdr:rowOff>
    </xdr:to>
    <xdr:sp macro="" textlink="$G$69">
      <xdr:nvSpPr>
        <xdr:cNvPr id="160" name="TextBox 159">
          <a:extLst>
            <a:ext uri="{FF2B5EF4-FFF2-40B4-BE49-F238E27FC236}">
              <a16:creationId xmlns:a16="http://schemas.microsoft.com/office/drawing/2014/main" id="{270FC586-B8DA-422C-B13D-4DAD0B3B56DE}"/>
            </a:ext>
          </a:extLst>
        </xdr:cNvPr>
        <xdr:cNvSpPr txBox="1"/>
      </xdr:nvSpPr>
      <xdr:spPr>
        <a:xfrm>
          <a:off x="3818474" y="5772760"/>
          <a:ext cx="203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FB6F5061-BE4A-458D-8355-625E100F8C3F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23</a:t>
          </a:fld>
          <a:endParaRPr lang="en-US" sz="1100"/>
        </a:p>
      </xdr:txBody>
    </xdr:sp>
    <xdr:clientData/>
  </xdr:twoCellAnchor>
  <xdr:twoCellAnchor editAs="absolute">
    <xdr:from>
      <xdr:col>5</xdr:col>
      <xdr:colOff>725651</xdr:colOff>
      <xdr:row>32</xdr:row>
      <xdr:rowOff>1730</xdr:rowOff>
    </xdr:from>
    <xdr:to>
      <xdr:col>5</xdr:col>
      <xdr:colOff>928989</xdr:colOff>
      <xdr:row>32</xdr:row>
      <xdr:rowOff>173957</xdr:rowOff>
    </xdr:to>
    <xdr:sp macro="" textlink="$G$70">
      <xdr:nvSpPr>
        <xdr:cNvPr id="161" name="TextBox 160">
          <a:extLst>
            <a:ext uri="{FF2B5EF4-FFF2-40B4-BE49-F238E27FC236}">
              <a16:creationId xmlns:a16="http://schemas.microsoft.com/office/drawing/2014/main" id="{B873280F-1A0E-4C49-A181-5567E9383BBD}"/>
            </a:ext>
          </a:extLst>
        </xdr:cNvPr>
        <xdr:cNvSpPr txBox="1"/>
      </xdr:nvSpPr>
      <xdr:spPr>
        <a:xfrm>
          <a:off x="3751239" y="6097730"/>
          <a:ext cx="203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1DB0879D-4C02-4EFE-855B-82C0873F607F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24</a:t>
          </a:fld>
          <a:endParaRPr lang="en-US" sz="1100"/>
        </a:p>
      </xdr:txBody>
    </xdr:sp>
    <xdr:clientData/>
  </xdr:twoCellAnchor>
  <xdr:twoCellAnchor editAs="absolute">
    <xdr:from>
      <xdr:col>5</xdr:col>
      <xdr:colOff>445504</xdr:colOff>
      <xdr:row>36</xdr:row>
      <xdr:rowOff>35348</xdr:rowOff>
    </xdr:from>
    <xdr:to>
      <xdr:col>5</xdr:col>
      <xdr:colOff>648842</xdr:colOff>
      <xdr:row>37</xdr:row>
      <xdr:rowOff>17075</xdr:rowOff>
    </xdr:to>
    <xdr:sp macro="" textlink="$G$71">
      <xdr:nvSpPr>
        <xdr:cNvPr id="163" name="TextBox 162">
          <a:extLst>
            <a:ext uri="{FF2B5EF4-FFF2-40B4-BE49-F238E27FC236}">
              <a16:creationId xmlns:a16="http://schemas.microsoft.com/office/drawing/2014/main" id="{D7337E54-3258-43E7-B0B0-01D29B4EBD39}"/>
            </a:ext>
          </a:extLst>
        </xdr:cNvPr>
        <xdr:cNvSpPr txBox="1"/>
      </xdr:nvSpPr>
      <xdr:spPr>
        <a:xfrm>
          <a:off x="3471092" y="6893348"/>
          <a:ext cx="203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C51624B9-DD2F-4DC9-83D3-643C9F9FA74F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25</a:t>
          </a:fld>
          <a:endParaRPr lang="en-US" sz="1100"/>
        </a:p>
      </xdr:txBody>
    </xdr:sp>
    <xdr:clientData/>
  </xdr:twoCellAnchor>
  <xdr:twoCellAnchor editAs="absolute">
    <xdr:from>
      <xdr:col>4</xdr:col>
      <xdr:colOff>389474</xdr:colOff>
      <xdr:row>30</xdr:row>
      <xdr:rowOff>35348</xdr:rowOff>
    </xdr:from>
    <xdr:to>
      <xdr:col>4</xdr:col>
      <xdr:colOff>592812</xdr:colOff>
      <xdr:row>31</xdr:row>
      <xdr:rowOff>17075</xdr:rowOff>
    </xdr:to>
    <xdr:sp macro="" textlink="$G$72">
      <xdr:nvSpPr>
        <xdr:cNvPr id="164" name="TextBox 163">
          <a:extLst>
            <a:ext uri="{FF2B5EF4-FFF2-40B4-BE49-F238E27FC236}">
              <a16:creationId xmlns:a16="http://schemas.microsoft.com/office/drawing/2014/main" id="{75EEB845-604F-4FE0-A65F-3FAF37C6AFC5}"/>
            </a:ext>
          </a:extLst>
        </xdr:cNvPr>
        <xdr:cNvSpPr txBox="1"/>
      </xdr:nvSpPr>
      <xdr:spPr>
        <a:xfrm>
          <a:off x="2809945" y="5750348"/>
          <a:ext cx="203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9793397D-0B63-4A7B-A6AF-44F4260436DD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26</a:t>
          </a:fld>
          <a:endParaRPr lang="en-US" sz="1100"/>
        </a:p>
      </xdr:txBody>
    </xdr:sp>
    <xdr:clientData/>
  </xdr:twoCellAnchor>
  <xdr:twoCellAnchor editAs="absolute">
    <xdr:from>
      <xdr:col>10</xdr:col>
      <xdr:colOff>1404411</xdr:colOff>
      <xdr:row>14</xdr:row>
      <xdr:rowOff>24143</xdr:rowOff>
    </xdr:from>
    <xdr:to>
      <xdr:col>11</xdr:col>
      <xdr:colOff>2156886</xdr:colOff>
      <xdr:row>38</xdr:row>
      <xdr:rowOff>126185</xdr:rowOff>
    </xdr:to>
    <xdr:grpSp>
      <xdr:nvGrpSpPr>
        <xdr:cNvPr id="166" name="Group 165">
          <a:extLst>
            <a:ext uri="{FF2B5EF4-FFF2-40B4-BE49-F238E27FC236}">
              <a16:creationId xmlns:a16="http://schemas.microsoft.com/office/drawing/2014/main" id="{C786D21C-05DE-4CD3-A046-1A012FFB80FF}"/>
            </a:ext>
          </a:extLst>
        </xdr:cNvPr>
        <xdr:cNvGrpSpPr/>
      </xdr:nvGrpSpPr>
      <xdr:grpSpPr>
        <a:xfrm rot="-4500000" flipH="1">
          <a:off x="9321613" y="3223176"/>
          <a:ext cx="4674042" cy="3609975"/>
          <a:chOff x="620439" y="365677"/>
          <a:chExt cx="4701477" cy="3609975"/>
        </a:xfrm>
      </xdr:grpSpPr>
      <xdr:cxnSp macro="">
        <xdr:nvCxnSpPr>
          <xdr:cNvPr id="168" name="Straight Connector 167">
            <a:extLst>
              <a:ext uri="{FF2B5EF4-FFF2-40B4-BE49-F238E27FC236}">
                <a16:creationId xmlns:a16="http://schemas.microsoft.com/office/drawing/2014/main" id="{CAF75469-ABB9-492C-9EB1-C8395FC630E8}"/>
              </a:ext>
            </a:extLst>
          </xdr:cNvPr>
          <xdr:cNvCxnSpPr/>
        </xdr:nvCxnSpPr>
        <xdr:spPr>
          <a:xfrm flipH="1">
            <a:off x="3756221" y="3072848"/>
            <a:ext cx="39909" cy="159027"/>
          </a:xfrm>
          <a:prstGeom prst="line">
            <a:avLst/>
          </a:prstGeom>
          <a:ln w="28575">
            <a:solidFill>
              <a:srgbClr val="FF45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0" name="Straight Connector 169">
            <a:extLst>
              <a:ext uri="{FF2B5EF4-FFF2-40B4-BE49-F238E27FC236}">
                <a16:creationId xmlns:a16="http://schemas.microsoft.com/office/drawing/2014/main" id="{1F5931F9-2C6A-4A01-970C-25211B328B3B}"/>
              </a:ext>
            </a:extLst>
          </xdr:cNvPr>
          <xdr:cNvCxnSpPr/>
        </xdr:nvCxnSpPr>
        <xdr:spPr>
          <a:xfrm>
            <a:off x="1593303" y="381000"/>
            <a:ext cx="3728613" cy="0"/>
          </a:xfrm>
          <a:prstGeom prst="line">
            <a:avLst/>
          </a:prstGeom>
          <a:ln w="28575">
            <a:solidFill>
              <a:srgbClr val="FF45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2" name="Straight Connector 171">
            <a:extLst>
              <a:ext uri="{FF2B5EF4-FFF2-40B4-BE49-F238E27FC236}">
                <a16:creationId xmlns:a16="http://schemas.microsoft.com/office/drawing/2014/main" id="{7FD3ED8C-6AD2-469B-A997-DC1CF075E1E2}"/>
              </a:ext>
            </a:extLst>
          </xdr:cNvPr>
          <xdr:cNvCxnSpPr/>
        </xdr:nvCxnSpPr>
        <xdr:spPr>
          <a:xfrm>
            <a:off x="620439" y="3971925"/>
            <a:ext cx="3731255" cy="0"/>
          </a:xfrm>
          <a:prstGeom prst="line">
            <a:avLst/>
          </a:prstGeom>
          <a:ln w="28575">
            <a:solidFill>
              <a:srgbClr val="008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4" name="Straight Connector 173">
            <a:extLst>
              <a:ext uri="{FF2B5EF4-FFF2-40B4-BE49-F238E27FC236}">
                <a16:creationId xmlns:a16="http://schemas.microsoft.com/office/drawing/2014/main" id="{81E8F6E1-7D08-43D1-9DB6-0A5EF352B2C4}"/>
              </a:ext>
            </a:extLst>
          </xdr:cNvPr>
          <xdr:cNvCxnSpPr/>
        </xdr:nvCxnSpPr>
        <xdr:spPr>
          <a:xfrm>
            <a:off x="1298028" y="1514475"/>
            <a:ext cx="1612352" cy="1295400"/>
          </a:xfrm>
          <a:prstGeom prst="line">
            <a:avLst/>
          </a:prstGeom>
          <a:ln w="28575">
            <a:solidFill>
              <a:srgbClr val="FF45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6" name="Straight Connector 175">
            <a:extLst>
              <a:ext uri="{FF2B5EF4-FFF2-40B4-BE49-F238E27FC236}">
                <a16:creationId xmlns:a16="http://schemas.microsoft.com/office/drawing/2014/main" id="{F1D981C2-5F75-487D-9DDE-3B489868ED2B}"/>
              </a:ext>
            </a:extLst>
          </xdr:cNvPr>
          <xdr:cNvCxnSpPr/>
        </xdr:nvCxnSpPr>
        <xdr:spPr>
          <a:xfrm>
            <a:off x="1908941" y="779808"/>
            <a:ext cx="3308475" cy="0"/>
          </a:xfrm>
          <a:prstGeom prst="line">
            <a:avLst/>
          </a:prstGeom>
          <a:ln w="28575">
            <a:solidFill>
              <a:srgbClr val="FF45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8" name="Straight Connector 177">
            <a:extLst>
              <a:ext uri="{FF2B5EF4-FFF2-40B4-BE49-F238E27FC236}">
                <a16:creationId xmlns:a16="http://schemas.microsoft.com/office/drawing/2014/main" id="{BDA45DD5-3F5A-4F72-AF1A-19CED2E2F3CA}"/>
              </a:ext>
            </a:extLst>
          </xdr:cNvPr>
          <xdr:cNvCxnSpPr/>
        </xdr:nvCxnSpPr>
        <xdr:spPr>
          <a:xfrm>
            <a:off x="2213741" y="1114425"/>
            <a:ext cx="2895587" cy="0"/>
          </a:xfrm>
          <a:prstGeom prst="line">
            <a:avLst/>
          </a:prstGeom>
          <a:ln w="28575">
            <a:solidFill>
              <a:srgbClr val="0080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9" name="Straight Connector 178">
            <a:extLst>
              <a:ext uri="{FF2B5EF4-FFF2-40B4-BE49-F238E27FC236}">
                <a16:creationId xmlns:a16="http://schemas.microsoft.com/office/drawing/2014/main" id="{F94130A4-26D6-4301-AE6B-1F5B88329AB0}"/>
              </a:ext>
            </a:extLst>
          </xdr:cNvPr>
          <xdr:cNvCxnSpPr/>
        </xdr:nvCxnSpPr>
        <xdr:spPr>
          <a:xfrm>
            <a:off x="810939" y="3200400"/>
            <a:ext cx="2947652" cy="0"/>
          </a:xfrm>
          <a:prstGeom prst="line">
            <a:avLst/>
          </a:prstGeom>
          <a:ln w="28575">
            <a:solidFill>
              <a:srgbClr val="FF45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1" name="Straight Connector 180">
            <a:extLst>
              <a:ext uri="{FF2B5EF4-FFF2-40B4-BE49-F238E27FC236}">
                <a16:creationId xmlns:a16="http://schemas.microsoft.com/office/drawing/2014/main" id="{71CDB10E-880E-4DD7-AAE1-0E9B01F60033}"/>
              </a:ext>
            </a:extLst>
          </xdr:cNvPr>
          <xdr:cNvCxnSpPr/>
        </xdr:nvCxnSpPr>
        <xdr:spPr>
          <a:xfrm>
            <a:off x="2996105" y="1504950"/>
            <a:ext cx="1979873" cy="0"/>
          </a:xfrm>
          <a:prstGeom prst="line">
            <a:avLst/>
          </a:prstGeom>
          <a:ln w="28575">
            <a:solidFill>
              <a:srgbClr val="0080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2" name="Straight Connector 181">
            <a:extLst>
              <a:ext uri="{FF2B5EF4-FFF2-40B4-BE49-F238E27FC236}">
                <a16:creationId xmlns:a16="http://schemas.microsoft.com/office/drawing/2014/main" id="{F5E0CB50-B4B7-45D0-9ED6-833EBCD76297}"/>
              </a:ext>
            </a:extLst>
          </xdr:cNvPr>
          <xdr:cNvCxnSpPr/>
        </xdr:nvCxnSpPr>
        <xdr:spPr>
          <a:xfrm>
            <a:off x="915714" y="2820642"/>
            <a:ext cx="1985141" cy="0"/>
          </a:xfrm>
          <a:prstGeom prst="line">
            <a:avLst/>
          </a:prstGeom>
          <a:ln w="28575">
            <a:solidFill>
              <a:srgbClr val="FF45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4" name="Straight Connector 183">
            <a:extLst>
              <a:ext uri="{FF2B5EF4-FFF2-40B4-BE49-F238E27FC236}">
                <a16:creationId xmlns:a16="http://schemas.microsoft.com/office/drawing/2014/main" id="{9C1FD622-4DE2-4337-BD9A-A2CDB052B0E3}"/>
              </a:ext>
            </a:extLst>
          </xdr:cNvPr>
          <xdr:cNvCxnSpPr/>
        </xdr:nvCxnSpPr>
        <xdr:spPr>
          <a:xfrm>
            <a:off x="753789" y="3590925"/>
            <a:ext cx="3319541" cy="0"/>
          </a:xfrm>
          <a:prstGeom prst="line">
            <a:avLst/>
          </a:prstGeom>
          <a:ln w="28575">
            <a:solidFill>
              <a:srgbClr val="0080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5" name="Straight Connector 184">
            <a:extLst>
              <a:ext uri="{FF2B5EF4-FFF2-40B4-BE49-F238E27FC236}">
                <a16:creationId xmlns:a16="http://schemas.microsoft.com/office/drawing/2014/main" id="{38450FA4-BEF9-4E8E-8353-E7A7BD487218}"/>
              </a:ext>
            </a:extLst>
          </xdr:cNvPr>
          <xdr:cNvCxnSpPr/>
        </xdr:nvCxnSpPr>
        <xdr:spPr>
          <a:xfrm>
            <a:off x="3005630" y="1504950"/>
            <a:ext cx="1645571" cy="1314450"/>
          </a:xfrm>
          <a:prstGeom prst="line">
            <a:avLst/>
          </a:prstGeom>
          <a:ln w="28575">
            <a:solidFill>
              <a:srgbClr val="0080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6" name="Straight Connector 185">
            <a:extLst>
              <a:ext uri="{FF2B5EF4-FFF2-40B4-BE49-F238E27FC236}">
                <a16:creationId xmlns:a16="http://schemas.microsoft.com/office/drawing/2014/main" id="{A4354260-C91E-4A92-ACB8-961E0997C27F}"/>
              </a:ext>
            </a:extLst>
          </xdr:cNvPr>
          <xdr:cNvCxnSpPr/>
        </xdr:nvCxnSpPr>
        <xdr:spPr>
          <a:xfrm flipH="1">
            <a:off x="1288503" y="381000"/>
            <a:ext cx="276225" cy="1123950"/>
          </a:xfrm>
          <a:prstGeom prst="line">
            <a:avLst/>
          </a:prstGeom>
          <a:ln w="28575">
            <a:solidFill>
              <a:srgbClr val="FF45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8" name="Straight Connector 187">
            <a:extLst>
              <a:ext uri="{FF2B5EF4-FFF2-40B4-BE49-F238E27FC236}">
                <a16:creationId xmlns:a16="http://schemas.microsoft.com/office/drawing/2014/main" id="{2AB618B7-3B42-49EF-BEAA-F5B5B42CEB4C}"/>
              </a:ext>
            </a:extLst>
          </xdr:cNvPr>
          <xdr:cNvCxnSpPr/>
        </xdr:nvCxnSpPr>
        <xdr:spPr>
          <a:xfrm flipH="1">
            <a:off x="1741263" y="771525"/>
            <a:ext cx="158154" cy="638175"/>
          </a:xfrm>
          <a:prstGeom prst="line">
            <a:avLst/>
          </a:prstGeom>
          <a:ln w="28575">
            <a:solidFill>
              <a:srgbClr val="FF45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0" name="Straight Connector 189">
            <a:extLst>
              <a:ext uri="{FF2B5EF4-FFF2-40B4-BE49-F238E27FC236}">
                <a16:creationId xmlns:a16="http://schemas.microsoft.com/office/drawing/2014/main" id="{7736AE05-6C2E-43BA-9F17-4463F2792897}"/>
              </a:ext>
            </a:extLst>
          </xdr:cNvPr>
          <xdr:cNvCxnSpPr/>
        </xdr:nvCxnSpPr>
        <xdr:spPr>
          <a:xfrm>
            <a:off x="1736178" y="1419225"/>
            <a:ext cx="2072109" cy="1648664"/>
          </a:xfrm>
          <a:prstGeom prst="line">
            <a:avLst/>
          </a:prstGeom>
          <a:ln w="28575">
            <a:solidFill>
              <a:srgbClr val="FF45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2" name="Straight Connector 191">
            <a:extLst>
              <a:ext uri="{FF2B5EF4-FFF2-40B4-BE49-F238E27FC236}">
                <a16:creationId xmlns:a16="http://schemas.microsoft.com/office/drawing/2014/main" id="{EA6CB8AA-706D-470F-BCD3-E2D1B6030662}"/>
              </a:ext>
            </a:extLst>
          </xdr:cNvPr>
          <xdr:cNvCxnSpPr/>
        </xdr:nvCxnSpPr>
        <xdr:spPr>
          <a:xfrm flipH="1">
            <a:off x="2161044" y="1110853"/>
            <a:ext cx="53889" cy="222647"/>
          </a:xfrm>
          <a:prstGeom prst="line">
            <a:avLst/>
          </a:prstGeom>
          <a:ln w="28575">
            <a:solidFill>
              <a:srgbClr val="0080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5" name="Straight Connector 194">
            <a:extLst>
              <a:ext uri="{FF2B5EF4-FFF2-40B4-BE49-F238E27FC236}">
                <a16:creationId xmlns:a16="http://schemas.microsoft.com/office/drawing/2014/main" id="{6A802639-054C-4F11-9D38-4885B0806F3C}"/>
              </a:ext>
            </a:extLst>
          </xdr:cNvPr>
          <xdr:cNvCxnSpPr/>
        </xdr:nvCxnSpPr>
        <xdr:spPr>
          <a:xfrm>
            <a:off x="2160254" y="1307124"/>
            <a:ext cx="2110584" cy="1677858"/>
          </a:xfrm>
          <a:prstGeom prst="line">
            <a:avLst/>
          </a:prstGeom>
          <a:ln w="28575">
            <a:solidFill>
              <a:srgbClr val="0080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7" name="Straight Connector 196">
            <a:extLst>
              <a:ext uri="{FF2B5EF4-FFF2-40B4-BE49-F238E27FC236}">
                <a16:creationId xmlns:a16="http://schemas.microsoft.com/office/drawing/2014/main" id="{53C20E48-C2BD-48A6-BE97-2E9C43FD3B3D}"/>
              </a:ext>
            </a:extLst>
          </xdr:cNvPr>
          <xdr:cNvCxnSpPr/>
        </xdr:nvCxnSpPr>
        <xdr:spPr>
          <a:xfrm flipH="1">
            <a:off x="4363221" y="2792222"/>
            <a:ext cx="290515" cy="1183430"/>
          </a:xfrm>
          <a:prstGeom prst="line">
            <a:avLst/>
          </a:prstGeom>
          <a:ln w="28575">
            <a:solidFill>
              <a:srgbClr val="0080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9" name="Straight Connector 198">
            <a:extLst>
              <a:ext uri="{FF2B5EF4-FFF2-40B4-BE49-F238E27FC236}">
                <a16:creationId xmlns:a16="http://schemas.microsoft.com/office/drawing/2014/main" id="{7C609A79-F9F8-4F43-8701-876325AA0786}"/>
              </a:ext>
            </a:extLst>
          </xdr:cNvPr>
          <xdr:cNvCxnSpPr/>
        </xdr:nvCxnSpPr>
        <xdr:spPr>
          <a:xfrm flipH="1">
            <a:off x="4065047" y="2949591"/>
            <a:ext cx="183413" cy="669909"/>
          </a:xfrm>
          <a:prstGeom prst="line">
            <a:avLst/>
          </a:prstGeom>
          <a:ln w="28575">
            <a:solidFill>
              <a:srgbClr val="0080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1" name="Straight Connector 200">
            <a:extLst>
              <a:ext uri="{FF2B5EF4-FFF2-40B4-BE49-F238E27FC236}">
                <a16:creationId xmlns:a16="http://schemas.microsoft.com/office/drawing/2014/main" id="{11DFAB12-58E5-425F-B706-BF4340875D2F}"/>
              </a:ext>
            </a:extLst>
          </xdr:cNvPr>
          <xdr:cNvCxnSpPr/>
        </xdr:nvCxnSpPr>
        <xdr:spPr>
          <a:xfrm flipH="1">
            <a:off x="5199194" y="365677"/>
            <a:ext cx="97807" cy="397707"/>
          </a:xfrm>
          <a:prstGeom prst="line">
            <a:avLst/>
          </a:prstGeom>
          <a:ln w="28575">
            <a:solidFill>
              <a:srgbClr val="FF45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3" name="Straight Connector 202">
            <a:extLst>
              <a:ext uri="{FF2B5EF4-FFF2-40B4-BE49-F238E27FC236}">
                <a16:creationId xmlns:a16="http://schemas.microsoft.com/office/drawing/2014/main" id="{D1D85368-8371-4491-9232-43938030498E}"/>
              </a:ext>
            </a:extLst>
          </xdr:cNvPr>
          <xdr:cNvCxnSpPr/>
        </xdr:nvCxnSpPr>
        <xdr:spPr>
          <a:xfrm flipH="1">
            <a:off x="5000411" y="1135960"/>
            <a:ext cx="99807" cy="397707"/>
          </a:xfrm>
          <a:prstGeom prst="line">
            <a:avLst/>
          </a:prstGeom>
          <a:ln w="28575">
            <a:solidFill>
              <a:srgbClr val="0080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8" name="Straight Connector 227">
            <a:extLst>
              <a:ext uri="{FF2B5EF4-FFF2-40B4-BE49-F238E27FC236}">
                <a16:creationId xmlns:a16="http://schemas.microsoft.com/office/drawing/2014/main" id="{AA24A3FA-F8A2-4C9F-8E27-DC0DF6952603}"/>
              </a:ext>
            </a:extLst>
          </xdr:cNvPr>
          <xdr:cNvCxnSpPr/>
        </xdr:nvCxnSpPr>
        <xdr:spPr>
          <a:xfrm flipH="1">
            <a:off x="627479" y="3571047"/>
            <a:ext cx="99807" cy="397707"/>
          </a:xfrm>
          <a:prstGeom prst="line">
            <a:avLst/>
          </a:prstGeom>
          <a:ln w="28575">
            <a:solidFill>
              <a:srgbClr val="0080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9" name="Straight Connector 228">
            <a:extLst>
              <a:ext uri="{FF2B5EF4-FFF2-40B4-BE49-F238E27FC236}">
                <a16:creationId xmlns:a16="http://schemas.microsoft.com/office/drawing/2014/main" id="{27A51A17-BA5F-4A53-AB48-407BFEF3B718}"/>
              </a:ext>
            </a:extLst>
          </xdr:cNvPr>
          <xdr:cNvCxnSpPr/>
        </xdr:nvCxnSpPr>
        <xdr:spPr>
          <a:xfrm flipH="1">
            <a:off x="834544" y="2792482"/>
            <a:ext cx="99807" cy="397707"/>
          </a:xfrm>
          <a:prstGeom prst="line">
            <a:avLst/>
          </a:prstGeom>
          <a:ln w="28575">
            <a:solidFill>
              <a:srgbClr val="FF45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414618</xdr:colOff>
      <xdr:row>76</xdr:row>
      <xdr:rowOff>156882</xdr:rowOff>
    </xdr:from>
    <xdr:to>
      <xdr:col>8</xdr:col>
      <xdr:colOff>89647</xdr:colOff>
      <xdr:row>99</xdr:row>
      <xdr:rowOff>145676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23EC64C9-1515-410B-B6E2-4BAE920F5DAD}"/>
            </a:ext>
          </a:extLst>
        </xdr:cNvPr>
        <xdr:cNvSpPr/>
      </xdr:nvSpPr>
      <xdr:spPr>
        <a:xfrm>
          <a:off x="2229971" y="14634882"/>
          <a:ext cx="4370294" cy="4370294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194647</xdr:colOff>
      <xdr:row>78</xdr:row>
      <xdr:rowOff>161029</xdr:rowOff>
    </xdr:from>
    <xdr:to>
      <xdr:col>7</xdr:col>
      <xdr:colOff>993177</xdr:colOff>
      <xdr:row>97</xdr:row>
      <xdr:rowOff>141529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FE846A83-CB20-4DCF-BF48-64CE8DABAD1F}"/>
            </a:ext>
          </a:extLst>
        </xdr:cNvPr>
        <xdr:cNvGrpSpPr/>
      </xdr:nvGrpSpPr>
      <xdr:grpSpPr>
        <a:xfrm>
          <a:off x="2615118" y="15020029"/>
          <a:ext cx="3600000" cy="3600000"/>
          <a:chOff x="2615118" y="15020029"/>
          <a:chExt cx="3600000" cy="3600000"/>
        </a:xfrm>
      </xdr:grpSpPr>
      <xdr:sp macro="" textlink="">
        <xdr:nvSpPr>
          <xdr:cNvPr id="3" name="Arc 2">
            <a:extLst>
              <a:ext uri="{FF2B5EF4-FFF2-40B4-BE49-F238E27FC236}">
                <a16:creationId xmlns:a16="http://schemas.microsoft.com/office/drawing/2014/main" id="{E37759DE-AC37-4BDC-95B5-7AE78F6B4462}"/>
              </a:ext>
            </a:extLst>
          </xdr:cNvPr>
          <xdr:cNvSpPr/>
        </xdr:nvSpPr>
        <xdr:spPr>
          <a:xfrm>
            <a:off x="2615118" y="15020029"/>
            <a:ext cx="3600000" cy="3600000"/>
          </a:xfrm>
          <a:prstGeom prst="arc">
            <a:avLst>
              <a:gd name="adj1" fmla="val 10328305"/>
              <a:gd name="adj2" fmla="val 20196391"/>
            </a:avLst>
          </a:prstGeom>
          <a:ln>
            <a:solidFill>
              <a:srgbClr val="FFFF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1" name="Arc 230">
            <a:extLst>
              <a:ext uri="{FF2B5EF4-FFF2-40B4-BE49-F238E27FC236}">
                <a16:creationId xmlns:a16="http://schemas.microsoft.com/office/drawing/2014/main" id="{C0447209-66C5-43AE-864E-745131DDDD1A}"/>
              </a:ext>
            </a:extLst>
          </xdr:cNvPr>
          <xdr:cNvSpPr/>
        </xdr:nvSpPr>
        <xdr:spPr>
          <a:xfrm rot="21240169">
            <a:off x="3210443" y="15380029"/>
            <a:ext cx="2880000" cy="2880000"/>
          </a:xfrm>
          <a:prstGeom prst="arc">
            <a:avLst>
              <a:gd name="adj1" fmla="val 10565273"/>
              <a:gd name="adj2" fmla="val 20196391"/>
            </a:avLst>
          </a:prstGeom>
          <a:ln>
            <a:solidFill>
              <a:srgbClr val="FFFF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4</xdr:col>
      <xdr:colOff>212910</xdr:colOff>
      <xdr:row>86</xdr:row>
      <xdr:rowOff>179294</xdr:rowOff>
    </xdr:from>
    <xdr:to>
      <xdr:col>7</xdr:col>
      <xdr:colOff>974912</xdr:colOff>
      <xdr:row>89</xdr:row>
      <xdr:rowOff>123265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DC316D99-06A0-4C27-8AC6-CF89E86A50B4}"/>
            </a:ext>
          </a:extLst>
        </xdr:cNvPr>
        <xdr:cNvSpPr/>
      </xdr:nvSpPr>
      <xdr:spPr>
        <a:xfrm>
          <a:off x="2633381" y="16562294"/>
          <a:ext cx="3563472" cy="515471"/>
        </a:xfrm>
        <a:prstGeom prst="rect">
          <a:avLst/>
        </a:prstGeom>
        <a:noFill/>
        <a:ln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194647</xdr:colOff>
      <xdr:row>78</xdr:row>
      <xdr:rowOff>161029</xdr:rowOff>
    </xdr:from>
    <xdr:to>
      <xdr:col>7</xdr:col>
      <xdr:colOff>993177</xdr:colOff>
      <xdr:row>97</xdr:row>
      <xdr:rowOff>141529</xdr:rowOff>
    </xdr:to>
    <xdr:grpSp>
      <xdr:nvGrpSpPr>
        <xdr:cNvPr id="235" name="Group 234">
          <a:extLst>
            <a:ext uri="{FF2B5EF4-FFF2-40B4-BE49-F238E27FC236}">
              <a16:creationId xmlns:a16="http://schemas.microsoft.com/office/drawing/2014/main" id="{EF10DA5B-3A96-44C2-B6AC-67F26837C3F2}"/>
            </a:ext>
          </a:extLst>
        </xdr:cNvPr>
        <xdr:cNvGrpSpPr/>
      </xdr:nvGrpSpPr>
      <xdr:grpSpPr>
        <a:xfrm flipH="1" flipV="1">
          <a:off x="2615118" y="15020029"/>
          <a:ext cx="3600000" cy="3600000"/>
          <a:chOff x="2615118" y="15020029"/>
          <a:chExt cx="3600000" cy="3600000"/>
        </a:xfrm>
      </xdr:grpSpPr>
      <xdr:sp macro="" textlink="">
        <xdr:nvSpPr>
          <xdr:cNvPr id="236" name="Arc 235">
            <a:extLst>
              <a:ext uri="{FF2B5EF4-FFF2-40B4-BE49-F238E27FC236}">
                <a16:creationId xmlns:a16="http://schemas.microsoft.com/office/drawing/2014/main" id="{BF3F5446-72E5-4D24-93A2-5CF77A52D29D}"/>
              </a:ext>
            </a:extLst>
          </xdr:cNvPr>
          <xdr:cNvSpPr/>
        </xdr:nvSpPr>
        <xdr:spPr>
          <a:xfrm>
            <a:off x="2615118" y="15020029"/>
            <a:ext cx="3600000" cy="3600000"/>
          </a:xfrm>
          <a:prstGeom prst="arc">
            <a:avLst>
              <a:gd name="adj1" fmla="val 10328305"/>
              <a:gd name="adj2" fmla="val 20196391"/>
            </a:avLst>
          </a:prstGeom>
          <a:ln>
            <a:solidFill>
              <a:srgbClr val="FFFF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8" name="Arc 237">
            <a:extLst>
              <a:ext uri="{FF2B5EF4-FFF2-40B4-BE49-F238E27FC236}">
                <a16:creationId xmlns:a16="http://schemas.microsoft.com/office/drawing/2014/main" id="{EDDA58AC-19B3-4B67-B015-11573AECB902}"/>
              </a:ext>
            </a:extLst>
          </xdr:cNvPr>
          <xdr:cNvSpPr/>
        </xdr:nvSpPr>
        <xdr:spPr>
          <a:xfrm rot="21240169">
            <a:off x="3210443" y="15380029"/>
            <a:ext cx="2880000" cy="2880000"/>
          </a:xfrm>
          <a:prstGeom prst="arc">
            <a:avLst>
              <a:gd name="adj1" fmla="val 10565273"/>
              <a:gd name="adj2" fmla="val 20196391"/>
            </a:avLst>
          </a:prstGeom>
          <a:ln>
            <a:solidFill>
              <a:srgbClr val="FFFF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oneCellAnchor>
    <xdr:from>
      <xdr:col>5</xdr:col>
      <xdr:colOff>1479176</xdr:colOff>
      <xdr:row>87</xdr:row>
      <xdr:rowOff>134471</xdr:rowOff>
    </xdr:from>
    <xdr:ext cx="278089" cy="26456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E6F57C93-3781-468C-8AE3-5EE34990372D}"/>
            </a:ext>
          </a:extLst>
        </xdr:cNvPr>
        <xdr:cNvSpPr txBox="1"/>
      </xdr:nvSpPr>
      <xdr:spPr>
        <a:xfrm>
          <a:off x="4504764" y="16707971"/>
          <a:ext cx="27808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O</a:t>
          </a:r>
        </a:p>
      </xdr:txBody>
    </xdr:sp>
    <xdr:clientData/>
  </xdr:oneCellAnchor>
  <xdr:twoCellAnchor>
    <xdr:from>
      <xdr:col>5</xdr:col>
      <xdr:colOff>1371530</xdr:colOff>
      <xdr:row>88</xdr:row>
      <xdr:rowOff>38029</xdr:rowOff>
    </xdr:from>
    <xdr:to>
      <xdr:col>5</xdr:col>
      <xdr:colOff>1407530</xdr:colOff>
      <xdr:row>88</xdr:row>
      <xdr:rowOff>74029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D75398D2-8873-42F8-ABE9-352ABE033F65}"/>
            </a:ext>
          </a:extLst>
        </xdr:cNvPr>
        <xdr:cNvSpPr/>
      </xdr:nvSpPr>
      <xdr:spPr>
        <a:xfrm>
          <a:off x="4397118" y="16802029"/>
          <a:ext cx="36000" cy="36000"/>
        </a:xfrm>
        <a:prstGeom prst="ellipse">
          <a:avLst/>
        </a:prstGeom>
        <a:ln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212912</xdr:colOff>
      <xdr:row>87</xdr:row>
      <xdr:rowOff>11206</xdr:rowOff>
    </xdr:from>
    <xdr:to>
      <xdr:col>5</xdr:col>
      <xdr:colOff>1376802</xdr:colOff>
      <xdr:row>88</xdr:row>
      <xdr:rowOff>43301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1B461235-9F72-40D3-849E-7CD0B0B95372}"/>
            </a:ext>
          </a:extLst>
        </xdr:cNvPr>
        <xdr:cNvCxnSpPr>
          <a:stCxn id="11" idx="1"/>
        </xdr:cNvCxnSpPr>
      </xdr:nvCxnSpPr>
      <xdr:spPr>
        <a:xfrm flipH="1" flipV="1">
          <a:off x="3238500" y="16584706"/>
          <a:ext cx="1163890" cy="222595"/>
        </a:xfrm>
        <a:prstGeom prst="line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38954A-D264-4FB3-B4F2-FF65278E0509}">
  <sheetPr codeName="Sheet1"/>
  <dimension ref="B39:T80"/>
  <sheetViews>
    <sheetView tabSelected="1" topLeftCell="A58" zoomScale="85" zoomScaleNormal="85" workbookViewId="0">
      <selection activeCell="K90" sqref="K90"/>
    </sheetView>
  </sheetViews>
  <sheetFormatPr defaultRowHeight="15" x14ac:dyDescent="0.25"/>
  <cols>
    <col min="6" max="6" width="23.85546875" bestFit="1" customWidth="1"/>
    <col min="8" max="8" width="19.28515625" customWidth="1"/>
    <col min="9" max="9" width="20" customWidth="1"/>
    <col min="11" max="11" width="42.85546875" bestFit="1" customWidth="1"/>
    <col min="12" max="12" width="38" bestFit="1" customWidth="1"/>
  </cols>
  <sheetData>
    <row r="39" spans="3:20" x14ac:dyDescent="0.25">
      <c r="C39" t="s">
        <v>6</v>
      </c>
      <c r="D39" t="s">
        <v>7</v>
      </c>
      <c r="F39" t="s">
        <v>4</v>
      </c>
      <c r="G39" t="s">
        <v>1</v>
      </c>
      <c r="H39" t="s">
        <v>2</v>
      </c>
      <c r="I39" t="s">
        <v>3</v>
      </c>
    </row>
    <row r="40" spans="3:20" x14ac:dyDescent="0.25">
      <c r="C40" t="s">
        <v>5</v>
      </c>
      <c r="D40" s="1">
        <v>15</v>
      </c>
      <c r="F40" t="str">
        <f t="shared" ref="F40:F72" si="0">G40&amp;" ("&amp;H40&amp;", "&amp;I40&amp;")"</f>
        <v>O (0, 0)</v>
      </c>
      <c r="G40" t="s">
        <v>0</v>
      </c>
      <c r="H40">
        <f>0</f>
        <v>0</v>
      </c>
      <c r="I40">
        <f>0</f>
        <v>0</v>
      </c>
      <c r="K40" t="str">
        <f ca="1">"x"&amp;G40&amp;_xlfn.FORMULATEXT(H40)</f>
        <v>xO=0</v>
      </c>
      <c r="L40" t="str">
        <f ca="1">"y"&amp;G40&amp;_xlfn.FORMULATEXT(I40)</f>
        <v>yO=0</v>
      </c>
      <c r="M40" t="str">
        <f ca="1">G40&amp;" là điểm được xác định bởi: "&amp;K40&amp;", "&amp;L40&amp;";"</f>
        <v>O là điểm được xác định bởi: xO=0, yO=0;</v>
      </c>
    </row>
    <row r="41" spans="3:20" x14ac:dyDescent="0.25">
      <c r="F41" t="str">
        <f t="shared" si="0"/>
        <v>D (0, 1000)</v>
      </c>
      <c r="G41" t="s">
        <v>8</v>
      </c>
      <c r="H41">
        <f>0</f>
        <v>0</v>
      </c>
      <c r="I41" s="2">
        <f>D43</f>
        <v>1000</v>
      </c>
      <c r="K41" t="str">
        <f t="shared" ref="K41:K72" ca="1" si="1">"x"&amp;G41&amp;_xlfn.FORMULATEXT(H41)</f>
        <v>xD=0</v>
      </c>
      <c r="L41" t="str">
        <f ca="1">"y"&amp;G41&amp;_xlfn.FORMULATEXT(I41)</f>
        <v>yD=D43</v>
      </c>
      <c r="M41" t="str">
        <f t="shared" ref="M41:M72" ca="1" si="2">G41&amp;" là điểm được xác định bởi: "&amp;K41&amp;", "&amp;L41&amp;";"</f>
        <v>D là điểm được xác định bởi: xD=0, yD=D43;</v>
      </c>
      <c r="T41" t="s">
        <v>21</v>
      </c>
    </row>
    <row r="42" spans="3:20" x14ac:dyDescent="0.25">
      <c r="C42" t="s">
        <v>9</v>
      </c>
      <c r="D42" t="s">
        <v>10</v>
      </c>
      <c r="F42" s="3" t="str">
        <f t="shared" si="0"/>
        <v>A (267.949192431123, 0)</v>
      </c>
      <c r="G42" t="s">
        <v>13</v>
      </c>
      <c r="H42" s="2">
        <f>D43*TAN(RADIANS(D40))</f>
        <v>267.9491924311227</v>
      </c>
      <c r="I42">
        <f>0</f>
        <v>0</v>
      </c>
      <c r="K42" t="str">
        <f t="shared" ca="1" si="1"/>
        <v>xA=D43*TAN(RADIANS(D40))</v>
      </c>
      <c r="L42" t="str">
        <f t="shared" ref="L42:L72" ca="1" si="3">"y"&amp;G42&amp;_xlfn.FORMULATEXT(I42)</f>
        <v>yA=0</v>
      </c>
      <c r="M42" t="str">
        <f t="shared" ca="1" si="2"/>
        <v>A là điểm được xác định bởi: xA=D43*TAN(RADIANS(D40)), yA=0;</v>
      </c>
      <c r="T42" t="s">
        <v>22</v>
      </c>
    </row>
    <row r="43" spans="3:20" x14ac:dyDescent="0.25">
      <c r="C43" t="s">
        <v>11</v>
      </c>
      <c r="D43" s="1">
        <v>1000</v>
      </c>
      <c r="F43" t="str">
        <f t="shared" si="0"/>
        <v>S (384.301414417898, 0)</v>
      </c>
      <c r="G43" t="s">
        <v>16</v>
      </c>
      <c r="H43" s="2">
        <f>H42+D46</f>
        <v>384.30141441789755</v>
      </c>
      <c r="I43">
        <f>I42</f>
        <v>0</v>
      </c>
      <c r="K43" t="str">
        <f t="shared" ca="1" si="1"/>
        <v>xS=H42+D46</v>
      </c>
      <c r="L43" t="str">
        <f t="shared" ca="1" si="3"/>
        <v>yS=I42</v>
      </c>
      <c r="M43" t="str">
        <f t="shared" ca="1" si="2"/>
        <v>S là điểm được xác định bởi: xS=H42+D46, yS=I42;</v>
      </c>
    </row>
    <row r="44" spans="3:20" x14ac:dyDescent="0.25">
      <c r="C44" t="s">
        <v>12</v>
      </c>
      <c r="D44" s="2">
        <f>D43/COS(RADIANS(D40))</f>
        <v>1035.276180410083</v>
      </c>
      <c r="F44" t="str">
        <f>G44&amp;" ("&amp;H44&amp;", "&amp;I44&amp;")"</f>
        <v>T (500.653636404672, 0)</v>
      </c>
      <c r="G44" t="s">
        <v>20</v>
      </c>
      <c r="H44">
        <f>H43+D46</f>
        <v>500.6536364046724</v>
      </c>
      <c r="I44">
        <f>I42</f>
        <v>0</v>
      </c>
      <c r="K44" t="str">
        <f t="shared" ca="1" si="1"/>
        <v>xT=H43+D46</v>
      </c>
      <c r="L44" t="str">
        <f t="shared" ca="1" si="3"/>
        <v>yT=I42</v>
      </c>
      <c r="M44" t="str">
        <f t="shared" ca="1" si="2"/>
        <v>T là điểm được xác định bởi: xT=H43+D46, yT=I42;</v>
      </c>
    </row>
    <row r="45" spans="3:20" x14ac:dyDescent="0.25">
      <c r="C45" t="s">
        <v>14</v>
      </c>
      <c r="D45">
        <f>D43/(6+3*COS(RADIANS(D40)))</f>
        <v>112.38761616314461</v>
      </c>
      <c r="F45" t="str">
        <f t="shared" si="0"/>
        <v>B (1303.22537284121, 0)</v>
      </c>
      <c r="G45" t="s">
        <v>17</v>
      </c>
      <c r="H45" s="2">
        <f>H42+D44</f>
        <v>1303.2253728412056</v>
      </c>
      <c r="I45">
        <f>I42</f>
        <v>0</v>
      </c>
      <c r="K45" t="str">
        <f t="shared" ca="1" si="1"/>
        <v>xB=H42+D44</v>
      </c>
      <c r="L45" t="str">
        <f t="shared" ca="1" si="3"/>
        <v>yB=I42</v>
      </c>
      <c r="M45" t="str">
        <f t="shared" ca="1" si="2"/>
        <v>B là điểm được xác định bởi: xB=H42+D44, yB=I42;</v>
      </c>
    </row>
    <row r="46" spans="3:20" x14ac:dyDescent="0.25">
      <c r="C46" t="s">
        <v>15</v>
      </c>
      <c r="D46">
        <f>D45/COS(RADIANS(D40))</f>
        <v>116.35222198677486</v>
      </c>
      <c r="F46" t="str">
        <f t="shared" si="0"/>
        <v>C (1035.27618041008, 1000)</v>
      </c>
      <c r="G46" t="s">
        <v>18</v>
      </c>
      <c r="H46" s="2">
        <f>D44</f>
        <v>1035.276180410083</v>
      </c>
      <c r="I46" s="2">
        <f>D43</f>
        <v>1000</v>
      </c>
      <c r="K46" t="str">
        <f t="shared" ca="1" si="1"/>
        <v>xC=D44</v>
      </c>
      <c r="L46" t="str">
        <f t="shared" ca="1" si="3"/>
        <v>yC=D43</v>
      </c>
      <c r="M46" t="str">
        <f t="shared" ca="1" si="2"/>
        <v>C là điểm được xác định bởi: xC=D44, yC=D43;</v>
      </c>
    </row>
    <row r="47" spans="3:20" x14ac:dyDescent="0.25">
      <c r="F47" t="str">
        <f t="shared" si="0"/>
        <v>1 (30.1141709901736, 887.612383836855)</v>
      </c>
      <c r="G47">
        <v>1</v>
      </c>
      <c r="H47" s="2">
        <f>$D$45*TAN(RADIANS($D$40))*G47</f>
        <v>30.114170990173591</v>
      </c>
      <c r="I47" s="2">
        <f>$I$41-$D$45*G47</f>
        <v>887.61238383685543</v>
      </c>
      <c r="K47" t="str">
        <f t="shared" ca="1" si="1"/>
        <v>x1=$D$45*TAN(RADIANS($D$40))*G47</v>
      </c>
      <c r="L47" t="str">
        <f t="shared" ca="1" si="3"/>
        <v>y1=$I$41-$D$45*G47</v>
      </c>
      <c r="M47" t="str">
        <f t="shared" ca="1" si="2"/>
        <v>1 là điểm được xác định bởi: x1=$D$45*TAN(RADIANS($D$40))*G47, y1=$I$41-$D$45*G47;</v>
      </c>
    </row>
    <row r="48" spans="3:20" x14ac:dyDescent="0.25">
      <c r="C48" t="s">
        <v>19</v>
      </c>
      <c r="F48" t="str">
        <f t="shared" si="0"/>
        <v>2 (60.2283419803472, 775.224767673711)</v>
      </c>
      <c r="G48">
        <v>2</v>
      </c>
      <c r="H48" s="2">
        <f t="shared" ref="H48:H49" si="4">$D$45*TAN(RADIANS($D$40))*G48</f>
        <v>60.228341980347182</v>
      </c>
      <c r="I48" s="2">
        <f t="shared" ref="I48:I49" si="5">$I$41-$D$45*G48</f>
        <v>775.22476767371074</v>
      </c>
      <c r="K48" t="str">
        <f t="shared" ca="1" si="1"/>
        <v>x2=$D$45*TAN(RADIANS($D$40))*G48</v>
      </c>
      <c r="L48" t="str">
        <f t="shared" ca="1" si="3"/>
        <v>y2=$I$41-$D$45*G48</v>
      </c>
      <c r="M48" t="str">
        <f t="shared" ca="1" si="2"/>
        <v>2 là điểm được xác định bởi: x2=$D$45*TAN(RADIANS($D$40))*G48, y2=$I$41-$D$45*G48;</v>
      </c>
    </row>
    <row r="49" spans="2:13" x14ac:dyDescent="0.25">
      <c r="F49" t="str">
        <f t="shared" si="0"/>
        <v>3 (90.3425129705208, 662.837151510566)</v>
      </c>
      <c r="G49">
        <v>3</v>
      </c>
      <c r="H49" s="2">
        <f t="shared" si="4"/>
        <v>90.342512970520772</v>
      </c>
      <c r="I49" s="2">
        <f t="shared" si="5"/>
        <v>662.83715151056617</v>
      </c>
      <c r="K49" t="str">
        <f t="shared" ca="1" si="1"/>
        <v>x3=$D$45*TAN(RADIANS($D$40))*G49</v>
      </c>
      <c r="L49" t="str">
        <f t="shared" ca="1" si="3"/>
        <v>y3=$I$41-$D$45*G49</v>
      </c>
      <c r="M49" t="str">
        <f t="shared" ca="1" si="2"/>
        <v>3 là điểm được xác định bởi: x3=$D$45*TAN(RADIANS($D$40))*G49, y3=$I$41-$D$45*G49;</v>
      </c>
    </row>
    <row r="50" spans="2:13" x14ac:dyDescent="0.25">
      <c r="F50" t="str">
        <f t="shared" si="0"/>
        <v>4 (237.835021440949, 112.387616163145)</v>
      </c>
      <c r="G50">
        <v>4</v>
      </c>
      <c r="H50" s="2">
        <f>$H$42-$D$45*TAN(RADIANS($D$40))*(G50-3)</f>
        <v>237.83502144094911</v>
      </c>
      <c r="I50" s="2">
        <f>$D$45*(G50-3)</f>
        <v>112.38761616314461</v>
      </c>
      <c r="K50" t="str">
        <f t="shared" ca="1" si="1"/>
        <v>x4=$H$42-$D$45*TAN(RADIANS($D$40))*(G50-3)</v>
      </c>
      <c r="L50" t="str">
        <f t="shared" ca="1" si="3"/>
        <v>y4=$D$45*(G50-3)</v>
      </c>
      <c r="M50" t="str">
        <f t="shared" ca="1" si="2"/>
        <v>4 là điểm được xác định bởi: x4=$H$42-$D$45*TAN(RADIANS($D$40))*(G50-3), y4=$D$45*(G50-3);</v>
      </c>
    </row>
    <row r="51" spans="2:13" x14ac:dyDescent="0.25">
      <c r="B51" s="4"/>
      <c r="C51" t="str">
        <f>"α=D40=15 (degree)"</f>
        <v>α=D40=15 (degree)</v>
      </c>
      <c r="F51" t="str">
        <f t="shared" si="0"/>
        <v>5 (207.720850450776, 224.775232326289)</v>
      </c>
      <c r="G51">
        <v>5</v>
      </c>
      <c r="H51" s="2">
        <f t="shared" ref="H51:H52" si="6">$H$42-$D$45*TAN(RADIANS($D$40))*(G51-3)</f>
        <v>207.72085045077552</v>
      </c>
      <c r="I51" s="2">
        <f t="shared" ref="I51:I52" si="7">$D$45*(G51-3)</f>
        <v>224.77523232628923</v>
      </c>
      <c r="K51" t="str">
        <f t="shared" ca="1" si="1"/>
        <v>x5=$H$42-$D$45*TAN(RADIANS($D$40))*(G51-3)</v>
      </c>
      <c r="L51" t="str">
        <f t="shared" ca="1" si="3"/>
        <v>y5=$D$45*(G51-3)</v>
      </c>
      <c r="M51" t="str">
        <f t="shared" ca="1" si="2"/>
        <v>5 là điểm được xác định bởi: x5=$H$42-$D$45*TAN(RADIANS($D$40))*(G51-3), y5=$D$45*(G51-3);</v>
      </c>
    </row>
    <row r="52" spans="2:13" x14ac:dyDescent="0.25">
      <c r="C52" t="s">
        <v>23</v>
      </c>
      <c r="F52" t="str">
        <f t="shared" si="0"/>
        <v>6 (177.606679460602, 337.162848489434)</v>
      </c>
      <c r="G52">
        <v>6</v>
      </c>
      <c r="H52" s="2">
        <f t="shared" si="6"/>
        <v>177.60667946060192</v>
      </c>
      <c r="I52" s="2">
        <f t="shared" si="7"/>
        <v>337.16284848943383</v>
      </c>
      <c r="K52" t="str">
        <f t="shared" ca="1" si="1"/>
        <v>x6=$H$42-$D$45*TAN(RADIANS($D$40))*(G52-3)</v>
      </c>
      <c r="L52" t="str">
        <f t="shared" ca="1" si="3"/>
        <v>y6=$D$45*(G52-3)</v>
      </c>
      <c r="M52" t="str">
        <f t="shared" ca="1" si="2"/>
        <v>6 là điểm được xác định bởi: x6=$H$42-$D$45*TAN(RADIANS($D$40))*(G52-3), y6=$D$45*(G52-3);</v>
      </c>
    </row>
    <row r="53" spans="2:13" x14ac:dyDescent="0.25">
      <c r="C53" t="str">
        <f ca="1">"a"&amp;_xlfn.FORMULATEXT(D44)</f>
        <v>a=D43/COS(RADIANS(D40))</v>
      </c>
      <c r="F53" t="str">
        <f t="shared" si="0"/>
        <v>7 (354.187243427724, 112.387616163145)</v>
      </c>
      <c r="G53">
        <v>7</v>
      </c>
      <c r="H53" s="2">
        <f>H50+D46</f>
        <v>354.18724342772396</v>
      </c>
      <c r="I53" s="2">
        <f>I50</f>
        <v>112.38761616314461</v>
      </c>
      <c r="K53" t="str">
        <f t="shared" ca="1" si="1"/>
        <v>x7=H50+D46</v>
      </c>
      <c r="L53" t="str">
        <f t="shared" ca="1" si="3"/>
        <v>y7=I50</v>
      </c>
      <c r="M53" t="str">
        <f t="shared" ca="1" si="2"/>
        <v>7 là điểm được xác định bởi: x7=H50+D46, y7=I50;</v>
      </c>
    </row>
    <row r="54" spans="2:13" x14ac:dyDescent="0.25">
      <c r="C54" t="str">
        <f ca="1">"d"&amp;_xlfn.FORMULATEXT(D45)</f>
        <v>d=D43/(6+3*COS(RADIANS(D40)))</v>
      </c>
      <c r="F54" t="str">
        <f t="shared" si="0"/>
        <v>8 (304.112281118322, 299.269919688931)</v>
      </c>
      <c r="G54">
        <v>8</v>
      </c>
      <c r="H54" cm="1">
        <f t="array" ref="H54">xCross(H51,I51,H63,I63,H43,I43,H53,I53)</f>
        <v>304.11228111832156</v>
      </c>
      <c r="I54" cm="1">
        <f t="array" ref="I54">yCross(H51,I51,H63,I63,H43,I43,H53,I53)</f>
        <v>299.26991968893088</v>
      </c>
      <c r="K54" t="str">
        <f t="shared" ca="1" si="1"/>
        <v>x8=xCross(H51,I51,H63,I63,H43,I43,H53,I53)</v>
      </c>
      <c r="L54" t="str">
        <f t="shared" ca="1" si="3"/>
        <v>y8=yCross(H51,I51,H63,I63,H43,I43,H53,I53)</v>
      </c>
      <c r="M54" t="str">
        <f t="shared" ca="1" si="2"/>
        <v>8 là điểm được xác định bởi: x8=xCross(H51,I51,H63,I63,H43,I43,H53,I53), y8=yCross(H51,I51,H63,I63,H43,I43,H53,I53);</v>
      </c>
    </row>
    <row r="55" spans="2:13" x14ac:dyDescent="0.25">
      <c r="C55" t="str">
        <f ca="1">"s"&amp;_xlfn.FORMULATEXT(D46)</f>
        <v>s=D45/COS(RADIANS(D40))</v>
      </c>
      <c r="F55" t="str">
        <f t="shared" si="0"/>
        <v>9 (440.425294424325, 224.775232326289)</v>
      </c>
      <c r="G55">
        <v>9</v>
      </c>
      <c r="H55">
        <f>H51+2*D46</f>
        <v>440.42529442432522</v>
      </c>
      <c r="I55">
        <f>I51</f>
        <v>224.77523232628923</v>
      </c>
      <c r="K55" t="str">
        <f t="shared" ca="1" si="1"/>
        <v>x9=H51+2*D46</v>
      </c>
      <c r="L55" t="str">
        <f t="shared" ca="1" si="3"/>
        <v>y9=I51</v>
      </c>
      <c r="M55" t="str">
        <f t="shared" ca="1" si="2"/>
        <v>9 là điểm được xác định bởi: x9=H51+2*D46, y9=I51;</v>
      </c>
    </row>
    <row r="56" spans="2:13" x14ac:dyDescent="0.25">
      <c r="F56" t="str">
        <f t="shared" si="0"/>
        <v>10 (430.617882776041, 261.376990888428)</v>
      </c>
      <c r="G56">
        <v>10</v>
      </c>
      <c r="H56" cm="1">
        <f t="array" ref="H56">xCross(H50,I50,H62,I62,H55,I55,H44,I44)</f>
        <v>430.61788277604126</v>
      </c>
      <c r="I56" cm="1">
        <f t="array" ref="I56">yCross(H50,I50,H62,I62,H55,I55,H44,I44)</f>
        <v>261.37699088842788</v>
      </c>
      <c r="K56" t="str">
        <f t="shared" ca="1" si="1"/>
        <v>x10=xCross(H50,I50,H62,I62,H55,I55,H44,I44)</v>
      </c>
      <c r="L56" t="str">
        <f t="shared" ca="1" si="3"/>
        <v>y10=yCross(H50,I50,H62,I62,H55,I55,H44,I44)</v>
      </c>
      <c r="M56" t="str">
        <f t="shared" ca="1" si="2"/>
        <v>10 là điểm được xác định bởi: x10=xCross(H50,I50,H62,I62,H55,I55,H44,I44), y10=yCross(H50,I50,H62,I62,H55,I55,H44,I44);</v>
      </c>
    </row>
    <row r="57" spans="2:13" x14ac:dyDescent="0.25">
      <c r="F57" t="str">
        <f t="shared" si="0"/>
        <v>11 (704.216669810185, 337.162848489434)</v>
      </c>
      <c r="G57">
        <v>11</v>
      </c>
      <c r="H57" cm="1">
        <f t="array" ref="H57">xCross(H42,I42,H61,I61,H52,I52,H60,I60)</f>
        <v>704.21666981018541</v>
      </c>
      <c r="I57" cm="1">
        <f t="array" ref="I57">yCross(H42,I42,H61,I61,H52,I52,H60,I60)</f>
        <v>337.16284848943383</v>
      </c>
      <c r="K57" t="str">
        <f t="shared" ca="1" si="1"/>
        <v>x11=xCross(H42,I42,H61,I61,H52,I52,H60,I60)</v>
      </c>
      <c r="L57" t="str">
        <f t="shared" ca="1" si="3"/>
        <v>y11=yCross(H42,I42,H61,I61,H52,I52,H60,I60)</v>
      </c>
      <c r="M57" t="str">
        <f t="shared" ca="1" si="2"/>
        <v>11 là điểm được xác định bởi: x11=xCross(H42,I42,H61,I61,H52,I52,H60,I60), y11=yCross(H42,I42,H61,I61,H52,I52,H60,I60);</v>
      </c>
    </row>
    <row r="58" spans="2:13" x14ac:dyDescent="0.25">
      <c r="F58" t="str">
        <f t="shared" si="0"/>
        <v>12 (1273.11120185103, 112.387616163145)</v>
      </c>
      <c r="G58">
        <v>12</v>
      </c>
      <c r="H58">
        <f>H50+$D$44</f>
        <v>1273.1112018510321</v>
      </c>
      <c r="I58">
        <f>I50</f>
        <v>112.38761616314461</v>
      </c>
      <c r="K58" t="str">
        <f t="shared" ca="1" si="1"/>
        <v>x12=H50+$D$44</v>
      </c>
      <c r="L58" t="str">
        <f t="shared" ca="1" si="3"/>
        <v>y12=I50</v>
      </c>
      <c r="M58" t="str">
        <f t="shared" ca="1" si="2"/>
        <v>12 là điểm được xác định bởi: x12=H50+$D$44, y12=I50;</v>
      </c>
    </row>
    <row r="59" spans="2:13" x14ac:dyDescent="0.25">
      <c r="F59" t="str">
        <f t="shared" si="0"/>
        <v>13 (1242.99703086086, 224.775232326289)</v>
      </c>
      <c r="G59">
        <v>13</v>
      </c>
      <c r="H59">
        <f>H51+$D$44</f>
        <v>1242.9970308608586</v>
      </c>
      <c r="I59">
        <f t="shared" ref="I59:I60" si="8">I51</f>
        <v>224.77523232628923</v>
      </c>
      <c r="K59" t="str">
        <f t="shared" ca="1" si="1"/>
        <v>x13=H51+$D$44</v>
      </c>
      <c r="L59" t="str">
        <f t="shared" ca="1" si="3"/>
        <v>y13=I51</v>
      </c>
      <c r="M59" t="str">
        <f t="shared" ca="1" si="2"/>
        <v>13 là điểm được xác định bởi: x13=H51+$D$44, y13=I51;</v>
      </c>
    </row>
    <row r="60" spans="2:13" x14ac:dyDescent="0.25">
      <c r="F60" t="str">
        <f t="shared" si="0"/>
        <v>14 (1212.88285987069, 337.162848489434)</v>
      </c>
      <c r="G60">
        <v>14</v>
      </c>
      <c r="H60">
        <f>H52+$D$44</f>
        <v>1212.882859870685</v>
      </c>
      <c r="I60">
        <f t="shared" si="8"/>
        <v>337.16284848943383</v>
      </c>
      <c r="K60" t="str">
        <f t="shared" ca="1" si="1"/>
        <v>x14=H52+$D$44</v>
      </c>
      <c r="L60" t="str">
        <f t="shared" ca="1" si="3"/>
        <v>y14=I52</v>
      </c>
      <c r="M60" t="str">
        <f t="shared" ca="1" si="2"/>
        <v>14 là điểm được xác định bởi: x14=H52+$D$44, y14=I52;</v>
      </c>
    </row>
    <row r="61" spans="2:13" x14ac:dyDescent="0.25">
      <c r="F61" t="str">
        <f t="shared" si="0"/>
        <v>15 (1125.6186933806, 662.837151510566)</v>
      </c>
      <c r="G61">
        <v>15</v>
      </c>
      <c r="H61">
        <f>H49+D44</f>
        <v>1125.6186933806039</v>
      </c>
      <c r="I61">
        <f>I49</f>
        <v>662.83715151056617</v>
      </c>
      <c r="K61" t="str">
        <f t="shared" ca="1" si="1"/>
        <v>x15=H49+D44</v>
      </c>
      <c r="L61" t="str">
        <f t="shared" ca="1" si="3"/>
        <v>y15=I49</v>
      </c>
      <c r="M61" t="str">
        <f t="shared" ca="1" si="2"/>
        <v>15 là điểm được xác định bởi: x15=H49+D44, y15=I49;</v>
      </c>
    </row>
    <row r="62" spans="2:13" x14ac:dyDescent="0.25">
      <c r="F62" t="str">
        <f t="shared" si="0"/>
        <v>16 (1095.50452239043, 775.224767673711)</v>
      </c>
      <c r="G62">
        <v>16</v>
      </c>
      <c r="H62">
        <f>H48+D44</f>
        <v>1095.5045223904303</v>
      </c>
      <c r="I62">
        <f>I48</f>
        <v>775.22476767371074</v>
      </c>
      <c r="K62" t="str">
        <f t="shared" ca="1" si="1"/>
        <v>x16=H48+D44</v>
      </c>
      <c r="L62" t="str">
        <f t="shared" ca="1" si="3"/>
        <v>y16=I48</v>
      </c>
      <c r="M62" t="str">
        <f t="shared" ca="1" si="2"/>
        <v>16 là điểm được xác định bởi: x16=H48+D44, y16=I48;</v>
      </c>
    </row>
    <row r="63" spans="2:13" x14ac:dyDescent="0.25">
      <c r="F63" t="str">
        <f t="shared" si="0"/>
        <v>17 (1065.39035140026, 887.612383836855)</v>
      </c>
      <c r="G63">
        <v>17</v>
      </c>
      <c r="H63">
        <f>H47+D44</f>
        <v>1065.3903514002566</v>
      </c>
      <c r="I63">
        <f>I47</f>
        <v>887.61238383685543</v>
      </c>
      <c r="K63" t="str">
        <f t="shared" ca="1" si="1"/>
        <v>x17=H47+D44</v>
      </c>
      <c r="L63" t="str">
        <f t="shared" ca="1" si="3"/>
        <v>y17=I47</v>
      </c>
      <c r="M63" t="str">
        <f t="shared" ca="1" si="2"/>
        <v>17 là điểm được xác định bởi: x17=H47+D44, y17=I47;</v>
      </c>
    </row>
    <row r="64" spans="2:13" x14ac:dyDescent="0.25">
      <c r="F64" t="str">
        <f t="shared" si="0"/>
        <v>18 (918.923958423308, 1000)</v>
      </c>
      <c r="G64">
        <v>18</v>
      </c>
      <c r="H64">
        <f>H46-D46</f>
        <v>918.92395842330814</v>
      </c>
      <c r="I64">
        <f>I46</f>
        <v>1000</v>
      </c>
      <c r="K64" t="str">
        <f t="shared" ca="1" si="1"/>
        <v>x18=H46-D46</v>
      </c>
      <c r="L64" t="str">
        <f t="shared" ca="1" si="3"/>
        <v>y18=I46</v>
      </c>
      <c r="M64" t="str">
        <f t="shared" ca="1" si="2"/>
        <v>18 là điểm được xác định bởi: x18=H46-D46, y18=I46;</v>
      </c>
    </row>
    <row r="65" spans="6:13" x14ac:dyDescent="0.25">
      <c r="F65" t="str">
        <f t="shared" si="0"/>
        <v>19 (949.038129413482, 887.612383836855)</v>
      </c>
      <c r="G65">
        <v>19</v>
      </c>
      <c r="H65">
        <f>H63-D46</f>
        <v>949.03812941348167</v>
      </c>
      <c r="I65">
        <f>I63</f>
        <v>887.61238383685543</v>
      </c>
      <c r="K65" t="str">
        <f t="shared" ca="1" si="1"/>
        <v>x19=H63-D46</v>
      </c>
      <c r="L65" t="str">
        <f t="shared" ca="1" si="3"/>
        <v>y19=I63</v>
      </c>
      <c r="M65" t="str">
        <f t="shared" ca="1" si="2"/>
        <v>19 là điểm được xác định bởi: x19=H63-D46, y19=I63;</v>
      </c>
    </row>
    <row r="66" spans="6:13" x14ac:dyDescent="0.25">
      <c r="F66" t="str">
        <f t="shared" si="0"/>
        <v>20 (999.113091722884, 700.730080311069)</v>
      </c>
      <c r="G66">
        <v>20</v>
      </c>
      <c r="H66" cm="1">
        <f t="array" ref="H66">xCross(H50,I50,H62,I62,H64,I64,H67,I67)</f>
        <v>999.11309172288406</v>
      </c>
      <c r="I66" cm="1">
        <f t="array" ref="I66">yCross(H50,I50,H62,I62,H64,I64,H67,I67)</f>
        <v>700.73008031106906</v>
      </c>
      <c r="K66" t="str">
        <f t="shared" ca="1" si="1"/>
        <v>x20=xCross(H50,I50,H62,I62,H64,I64,H67,I67)</v>
      </c>
      <c r="L66" t="str">
        <f t="shared" ca="1" si="3"/>
        <v>y20=yCross(H50,I50,H62,I62,H64,I64,H67,I67)</v>
      </c>
      <c r="M66" t="str">
        <f t="shared" ca="1" si="2"/>
        <v>20 là điểm được xác định bởi: x20=xCross(H50,I50,H62,I62,H64,I64,H67,I67), y20=yCross(H50,I50,H62,I62,H64,I64,H67,I67);</v>
      </c>
    </row>
    <row r="67" spans="6:13" x14ac:dyDescent="0.25">
      <c r="F67" t="str">
        <f t="shared" si="0"/>
        <v>21 (1186.87315085443, 0)</v>
      </c>
      <c r="G67">
        <v>21</v>
      </c>
      <c r="H67">
        <f>H45-D46</f>
        <v>1186.8731508544308</v>
      </c>
      <c r="I67">
        <f>I45</f>
        <v>0</v>
      </c>
      <c r="K67" t="str">
        <f t="shared" ca="1" si="1"/>
        <v>x21=H45-D46</v>
      </c>
      <c r="L67" t="str">
        <f t="shared" ca="1" si="3"/>
        <v>y21=I45</v>
      </c>
      <c r="M67" t="str">
        <f t="shared" ca="1" si="2"/>
        <v>21 là điểm được xác định bởi: x21=H45-D46, y21=I45;</v>
      </c>
    </row>
    <row r="68" spans="6:13" x14ac:dyDescent="0.25">
      <c r="F68" t="str">
        <f t="shared" si="0"/>
        <v>22 (1070.52092886766, 0)</v>
      </c>
      <c r="G68">
        <v>22</v>
      </c>
      <c r="H68">
        <f>H67-D46</f>
        <v>1070.520928867656</v>
      </c>
      <c r="I68">
        <f>I67</f>
        <v>0</v>
      </c>
      <c r="K68" t="str">
        <f t="shared" ca="1" si="1"/>
        <v>x22=H67-D46</v>
      </c>
      <c r="L68" t="str">
        <f t="shared" ca="1" si="3"/>
        <v>y22=I67</v>
      </c>
      <c r="M68" t="str">
        <f t="shared" ca="1" si="2"/>
        <v>22 là điểm được xác định bởi: x22=H67-D46, y22=I67;</v>
      </c>
    </row>
    <row r="69" spans="6:13" x14ac:dyDescent="0.25">
      <c r="F69" t="str">
        <f t="shared" si="0"/>
        <v>23 (872.607490065164, 738.623009111572)</v>
      </c>
      <c r="G69">
        <v>23</v>
      </c>
      <c r="H69" cm="1">
        <f t="array" ref="H69">xCross(H51,I51,H63,I63,H68,I68,H71,I71)</f>
        <v>872.60749006516448</v>
      </c>
      <c r="I69" cm="1">
        <f t="array" ref="I69">yCross(H51,I51,H63,I63,H68,I68,H71,I71)</f>
        <v>738.62300911157217</v>
      </c>
      <c r="K69" t="str">
        <f t="shared" ca="1" si="1"/>
        <v>x23=xCross(H51,I51,H63,I63,H68,I68,H71,I71)</v>
      </c>
      <c r="L69" t="str">
        <f t="shared" ca="1" si="3"/>
        <v>y23=yCross(H51,I51,H63,I63,H68,I68,H71,I71)</v>
      </c>
      <c r="M69" t="str">
        <f t="shared" ca="1" si="2"/>
        <v>23 là điểm được xác định bởi: x23=xCross(H51,I51,H63,I63,H68,I68,H71,I71), y23=yCross(H51,I51,H63,I63,H68,I68,H71,I71);</v>
      </c>
    </row>
    <row r="70" spans="6:13" x14ac:dyDescent="0.25">
      <c r="F70" t="str">
        <f t="shared" si="0"/>
        <v>24 (862.80007841688, 775.224767673711)</v>
      </c>
      <c r="G70">
        <v>24</v>
      </c>
      <c r="H70" cm="1">
        <f t="array" ref="H70">xCross(H48,I48,H62,I62,H68,I68,H71,I71)</f>
        <v>862.80007841688041</v>
      </c>
      <c r="I70" cm="1">
        <f t="array" ref="I70">yCross(H48,I48,H62,I62,H68,I68,H71,I71)</f>
        <v>775.22476767371074</v>
      </c>
      <c r="K70" t="str">
        <f t="shared" ca="1" si="1"/>
        <v>x24=xCross(H48,I48,H62,I62,H68,I68,H71,I71)</v>
      </c>
      <c r="L70" t="str">
        <f t="shared" ca="1" si="3"/>
        <v>y24=yCross(H48,I48,H62,I62,H68,I68,H71,I71)</v>
      </c>
      <c r="M70" t="str">
        <f t="shared" ca="1" si="2"/>
        <v>24 là điểm được xác định bởi: x24=xCross(H48,I48,H62,I62,H68,I68,H71,I71), y24=yCross(H48,I48,H62,I62,H68,I68,H71,I71);</v>
      </c>
    </row>
    <row r="71" spans="6:13" x14ac:dyDescent="0.25">
      <c r="F71" t="str">
        <f t="shared" si="0"/>
        <v>25 (802.571736436533, 1000)</v>
      </c>
      <c r="G71">
        <v>25</v>
      </c>
      <c r="H71">
        <f>H64-D46</f>
        <v>802.57173643653323</v>
      </c>
      <c r="I71">
        <f>I64</f>
        <v>1000</v>
      </c>
      <c r="K71" t="str">
        <f t="shared" ca="1" si="1"/>
        <v>x25=H64-D46</v>
      </c>
      <c r="L71" t="str">
        <f t="shared" ca="1" si="3"/>
        <v>y25=I64</v>
      </c>
      <c r="M71" t="str">
        <f t="shared" ca="1" si="2"/>
        <v>25 là điểm được xác định bởi: x25=H64-D46, y25=I64;</v>
      </c>
    </row>
    <row r="72" spans="6:13" x14ac:dyDescent="0.25">
      <c r="F72" t="str">
        <f t="shared" si="0"/>
        <v>26 (599.00870303102, 662.837151510566)</v>
      </c>
      <c r="G72">
        <v>26</v>
      </c>
      <c r="H72" cm="1">
        <f t="array" ref="H72">xCross(H52,I52,H46,I46,H49,I49,H61,I61)</f>
        <v>599.00870303102045</v>
      </c>
      <c r="I72" cm="1">
        <f t="array" ref="I72">yCross(H52,I52,H46,I46,H49,I49,H61,I61)</f>
        <v>662.83715151056629</v>
      </c>
      <c r="K72" t="str">
        <f t="shared" ca="1" si="1"/>
        <v>x26=xCross(H52,I52,H46,I46,H49,I49,H61,I61)</v>
      </c>
      <c r="L72" t="str">
        <f t="shared" ca="1" si="3"/>
        <v>y26=yCross(H52,I52,H46,I46,H49,I49,H61,I61)</v>
      </c>
      <c r="M72" t="str">
        <f t="shared" ca="1" si="2"/>
        <v>26 là điểm được xác định bởi: x26=xCross(H52,I52,H46,I46,H49,I49,H61,I61), y26=yCross(H52,I52,H46,I46,H49,I49,H61,I61);</v>
      </c>
    </row>
    <row r="78" spans="6:13" x14ac:dyDescent="0.25">
      <c r="K78" t="s">
        <v>24</v>
      </c>
      <c r="L78">
        <v>10</v>
      </c>
    </row>
    <row r="79" spans="6:13" x14ac:dyDescent="0.25">
      <c r="K79" t="s">
        <v>25</v>
      </c>
      <c r="L79">
        <v>8</v>
      </c>
    </row>
    <row r="80" spans="6:13" x14ac:dyDescent="0.25">
      <c r="K80" t="s">
        <v>26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Phung Hoang Digital Technologies</dc:creator>
  <cp:lastModifiedBy>Phung Hoang Digital Technologies</cp:lastModifiedBy>
  <dcterms:created xsi:type="dcterms:W3CDTF">2026-07-12T14:44:02Z</dcterms:created>
  <dcterms:modified xsi:type="dcterms:W3CDTF">2026-07-13T19:21:14Z</dcterms:modified>
</cp:coreProperties>
</file>